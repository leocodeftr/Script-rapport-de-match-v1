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abien\Documents\Staps\M1\ASP\Mémoire\"/>
    </mc:Choice>
  </mc:AlternateContent>
  <xr:revisionPtr revIDLastSave="0" documentId="8_{485EB3B4-0EEE-44CC-9C51-69DEC5DBEA3E}" xr6:coauthVersionLast="47" xr6:coauthVersionMax="47" xr10:uidLastSave="{00000000-0000-0000-0000-000000000000}"/>
  <bookViews>
    <workbookView xWindow="-120" yWindow="-120" windowWidth="20730" windowHeight="11160" firstSheet="2" activeTab="3" xr2:uid="{1EC12F5D-E812-40C3-8727-71934D138633}"/>
  </bookViews>
  <sheets>
    <sheet name="Base de données" sheetId="6" state="hidden" r:id="rId1"/>
    <sheet name="D1 Résultats 2022.2023" sheetId="7" state="hidden" r:id="rId2"/>
    <sheet name="Démarrage" sheetId="9" r:id="rId3"/>
    <sheet name="Fenêtre codage" sheetId="1" r:id="rId4"/>
    <sheet name="Résultats" sheetId="2" r:id="rId5"/>
  </sheets>
  <definedNames>
    <definedName name="_xlnm._FilterDatabase" localSheetId="1" hidden="1">'D1 Résultats 2022.2023'!$G$1:$G$132</definedName>
    <definedName name="Journée_1">#REF!</definedName>
    <definedName name="Journée_10">#REF!</definedName>
    <definedName name="Journée_11">#REF!</definedName>
    <definedName name="Journée_12">#REF!</definedName>
    <definedName name="Journée_13">#REF!</definedName>
    <definedName name="Journée_14">#REF!</definedName>
    <definedName name="Journée_15">#REF!</definedName>
    <definedName name="Journée_16">#REF!</definedName>
    <definedName name="Journée_17">#REF!</definedName>
    <definedName name="Journée_18">#REF!</definedName>
    <definedName name="Journée_19">#REF!</definedName>
    <definedName name="Journée_2">#REF!</definedName>
    <definedName name="Journée_20">#REF!</definedName>
    <definedName name="Journée_21">#REF!</definedName>
    <definedName name="Journée_22">#REF!</definedName>
    <definedName name="Journée_3">#REF!</definedName>
    <definedName name="Journée_4">#REF!</definedName>
    <definedName name="Journée_5">#REF!</definedName>
    <definedName name="Journée_6">#REF!</definedName>
    <definedName name="Journée_7">#REF!</definedName>
    <definedName name="Journée_8">#REF!</definedName>
    <definedName name="Journée_9">#REF!</definedName>
    <definedName name="Journées">#REF!</definedName>
    <definedName name="ListeClubs">'Base de données'!$B:$B</definedName>
    <definedName name="ListeCLubsDOM">'D1 Résultats 2022.2023'!$D:$D</definedName>
    <definedName name="NomsJoueurs">'Base de données'!$C:$C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" l="1"/>
  <c r="O5" i="1"/>
  <c r="I2" i="1" l="1"/>
  <c r="AH252" i="6" l="1"/>
  <c r="F252" i="6"/>
  <c r="AH251" i="6"/>
  <c r="F251" i="6"/>
  <c r="AH250" i="6"/>
  <c r="F250" i="6"/>
  <c r="AH249" i="6"/>
  <c r="F249" i="6"/>
  <c r="AH248" i="6"/>
  <c r="F248" i="6"/>
  <c r="AH247" i="6"/>
  <c r="F247" i="6"/>
  <c r="AH246" i="6"/>
  <c r="F246" i="6"/>
  <c r="AH245" i="6"/>
  <c r="F245" i="6"/>
  <c r="AH244" i="6"/>
  <c r="F244" i="6"/>
  <c r="AH243" i="6"/>
  <c r="F243" i="6"/>
  <c r="AH242" i="6"/>
  <c r="F242" i="6"/>
  <c r="AH241" i="6"/>
  <c r="F241" i="6"/>
  <c r="AH240" i="6"/>
  <c r="F240" i="6"/>
  <c r="AH239" i="6"/>
  <c r="F239" i="6"/>
  <c r="AH238" i="6"/>
  <c r="F238" i="6"/>
  <c r="AH237" i="6"/>
  <c r="F237" i="6"/>
  <c r="AH236" i="6"/>
  <c r="F236" i="6"/>
  <c r="AH235" i="6"/>
  <c r="F235" i="6"/>
  <c r="AH234" i="6"/>
  <c r="F234" i="6"/>
  <c r="AH233" i="6"/>
  <c r="F233" i="6"/>
  <c r="AH232" i="6"/>
  <c r="F232" i="6"/>
  <c r="AH231" i="6"/>
  <c r="F231" i="6"/>
  <c r="AH230" i="6"/>
  <c r="F230" i="6"/>
  <c r="AH229" i="6"/>
  <c r="F229" i="6"/>
  <c r="AH228" i="6"/>
  <c r="F228" i="6"/>
  <c r="AH227" i="6"/>
  <c r="F227" i="6"/>
  <c r="AH226" i="6"/>
  <c r="AH225" i="6"/>
  <c r="F225" i="6"/>
  <c r="AH224" i="6"/>
  <c r="F224" i="6"/>
  <c r="AH223" i="6"/>
  <c r="F223" i="6"/>
  <c r="AH222" i="6"/>
  <c r="F222" i="6"/>
  <c r="AH221" i="6"/>
  <c r="F221" i="6"/>
  <c r="AH220" i="6"/>
  <c r="F220" i="6"/>
  <c r="AH219" i="6"/>
  <c r="F219" i="6"/>
  <c r="AH218" i="6"/>
  <c r="F218" i="6"/>
  <c r="AH217" i="6"/>
  <c r="F217" i="6"/>
  <c r="AH216" i="6"/>
  <c r="F216" i="6"/>
  <c r="AH215" i="6"/>
  <c r="F215" i="6"/>
  <c r="AH214" i="6"/>
  <c r="F214" i="6"/>
  <c r="AH213" i="6"/>
  <c r="F213" i="6"/>
  <c r="AH212" i="6"/>
  <c r="F212" i="6"/>
  <c r="AH211" i="6"/>
  <c r="F211" i="6"/>
  <c r="AH210" i="6"/>
  <c r="F210" i="6"/>
  <c r="AH209" i="6"/>
  <c r="F209" i="6"/>
  <c r="AH208" i="6"/>
  <c r="F208" i="6"/>
  <c r="AH207" i="6"/>
  <c r="F207" i="6"/>
  <c r="AH206" i="6"/>
  <c r="F206" i="6"/>
  <c r="AH205" i="6"/>
  <c r="F205" i="6"/>
  <c r="AH204" i="6"/>
  <c r="F204" i="6"/>
  <c r="AH203" i="6"/>
  <c r="F203" i="6"/>
  <c r="AH202" i="6"/>
  <c r="F202" i="6"/>
  <c r="AH201" i="6"/>
  <c r="F201" i="6"/>
  <c r="AH200" i="6"/>
  <c r="F200" i="6"/>
  <c r="AH199" i="6"/>
  <c r="F199" i="6"/>
  <c r="AH198" i="6"/>
  <c r="F198" i="6"/>
  <c r="AH197" i="6"/>
  <c r="F197" i="6"/>
  <c r="AH196" i="6"/>
  <c r="F196" i="6"/>
  <c r="AH195" i="6"/>
  <c r="F195" i="6"/>
  <c r="AH194" i="6"/>
  <c r="F194" i="6"/>
  <c r="AH193" i="6"/>
  <c r="F193" i="6"/>
  <c r="AH192" i="6"/>
  <c r="F192" i="6"/>
  <c r="AH191" i="6"/>
  <c r="F191" i="6"/>
  <c r="AH190" i="6"/>
  <c r="F190" i="6"/>
  <c r="AH189" i="6"/>
  <c r="F189" i="6"/>
  <c r="AH188" i="6"/>
  <c r="F188" i="6"/>
  <c r="AH187" i="6"/>
  <c r="F187" i="6"/>
  <c r="AH186" i="6"/>
  <c r="F186" i="6"/>
  <c r="AH185" i="6"/>
  <c r="F185" i="6"/>
  <c r="AH184" i="6"/>
  <c r="F184" i="6"/>
  <c r="AH183" i="6"/>
  <c r="F183" i="6"/>
  <c r="AH182" i="6"/>
  <c r="F182" i="6"/>
  <c r="AH181" i="6"/>
  <c r="F181" i="6"/>
  <c r="AH180" i="6"/>
  <c r="F180" i="6"/>
  <c r="AH179" i="6"/>
  <c r="F179" i="6"/>
  <c r="AH178" i="6"/>
  <c r="F178" i="6"/>
  <c r="AH177" i="6"/>
  <c r="F177" i="6"/>
  <c r="AH176" i="6"/>
  <c r="F176" i="6"/>
  <c r="AH175" i="6"/>
  <c r="F175" i="6"/>
  <c r="AH174" i="6"/>
  <c r="F174" i="6"/>
  <c r="AH173" i="6"/>
  <c r="F173" i="6"/>
  <c r="AH172" i="6"/>
  <c r="F172" i="6"/>
  <c r="AH171" i="6"/>
  <c r="F171" i="6"/>
  <c r="AH170" i="6"/>
  <c r="F170" i="6"/>
  <c r="AH169" i="6"/>
  <c r="F169" i="6"/>
  <c r="AH168" i="6"/>
  <c r="F168" i="6"/>
  <c r="AH167" i="6"/>
  <c r="F167" i="6"/>
  <c r="AH166" i="6"/>
  <c r="F166" i="6"/>
  <c r="AH165" i="6"/>
  <c r="F165" i="6"/>
  <c r="AH164" i="6"/>
  <c r="F164" i="6"/>
  <c r="AH163" i="6"/>
  <c r="F163" i="6"/>
  <c r="AH162" i="6"/>
  <c r="F162" i="6"/>
  <c r="AH161" i="6"/>
  <c r="F161" i="6"/>
  <c r="AH160" i="6"/>
  <c r="F160" i="6"/>
  <c r="AH159" i="6"/>
  <c r="F159" i="6"/>
  <c r="AH158" i="6"/>
  <c r="F158" i="6"/>
  <c r="AH157" i="6"/>
  <c r="F157" i="6"/>
  <c r="AH156" i="6"/>
  <c r="F156" i="6"/>
  <c r="AH155" i="6"/>
  <c r="F155" i="6"/>
  <c r="AH154" i="6"/>
  <c r="F154" i="6"/>
  <c r="AH153" i="6"/>
  <c r="F153" i="6"/>
  <c r="AH152" i="6"/>
  <c r="F152" i="6"/>
  <c r="AH151" i="6"/>
  <c r="F151" i="6"/>
  <c r="AH150" i="6"/>
  <c r="F150" i="6"/>
  <c r="AH149" i="6"/>
  <c r="F149" i="6"/>
  <c r="AH148" i="6"/>
  <c r="F148" i="6"/>
  <c r="AH147" i="6"/>
  <c r="F147" i="6"/>
  <c r="AH146" i="6"/>
  <c r="F146" i="6"/>
  <c r="AH145" i="6"/>
  <c r="F145" i="6"/>
  <c r="AH144" i="6"/>
  <c r="F144" i="6"/>
  <c r="AH143" i="6"/>
  <c r="F143" i="6"/>
  <c r="AH142" i="6"/>
  <c r="F142" i="6"/>
  <c r="AH141" i="6"/>
  <c r="F141" i="6"/>
  <c r="AH140" i="6"/>
  <c r="F140" i="6"/>
  <c r="AH139" i="6"/>
  <c r="F139" i="6"/>
  <c r="AH138" i="6"/>
  <c r="F138" i="6"/>
  <c r="AH137" i="6"/>
  <c r="F137" i="6"/>
  <c r="AH136" i="6"/>
  <c r="F136" i="6"/>
  <c r="AH135" i="6"/>
  <c r="F135" i="6"/>
  <c r="AH134" i="6"/>
  <c r="F134" i="6"/>
  <c r="AH133" i="6"/>
  <c r="F133" i="6"/>
  <c r="AH132" i="6"/>
  <c r="F132" i="6"/>
  <c r="AH131" i="6"/>
  <c r="F131" i="6"/>
  <c r="AH130" i="6"/>
  <c r="F130" i="6"/>
  <c r="AH129" i="6"/>
  <c r="F129" i="6"/>
  <c r="AH128" i="6"/>
  <c r="F128" i="6"/>
  <c r="AH127" i="6"/>
  <c r="F127" i="6"/>
  <c r="AH126" i="6"/>
  <c r="F126" i="6"/>
  <c r="AH125" i="6"/>
  <c r="F125" i="6"/>
  <c r="AH124" i="6"/>
  <c r="F124" i="6"/>
  <c r="AH123" i="6"/>
  <c r="F123" i="6"/>
  <c r="AH122" i="6"/>
  <c r="F122" i="6"/>
  <c r="AH121" i="6"/>
  <c r="F121" i="6"/>
  <c r="AH120" i="6"/>
  <c r="F120" i="6"/>
  <c r="AH119" i="6"/>
  <c r="F119" i="6"/>
  <c r="AH118" i="6"/>
  <c r="F118" i="6"/>
  <c r="AH117" i="6"/>
  <c r="F117" i="6"/>
  <c r="AH116" i="6"/>
  <c r="F116" i="6"/>
  <c r="AH115" i="6"/>
  <c r="F115" i="6"/>
  <c r="AH114" i="6"/>
  <c r="F114" i="6"/>
  <c r="AH113" i="6"/>
  <c r="F113" i="6"/>
  <c r="AH112" i="6"/>
  <c r="F112" i="6"/>
  <c r="AH111" i="6"/>
  <c r="F111" i="6"/>
  <c r="AH110" i="6"/>
  <c r="F110" i="6"/>
  <c r="AH109" i="6"/>
  <c r="F109" i="6"/>
  <c r="AH108" i="6"/>
  <c r="F108" i="6"/>
  <c r="AH107" i="6"/>
  <c r="F107" i="6"/>
  <c r="AH106" i="6"/>
  <c r="F106" i="6"/>
  <c r="AH105" i="6"/>
  <c r="F105" i="6"/>
  <c r="AH104" i="6"/>
  <c r="F104" i="6"/>
  <c r="AH103" i="6"/>
  <c r="F103" i="6"/>
  <c r="AH102" i="6"/>
  <c r="F102" i="6"/>
  <c r="AH101" i="6"/>
  <c r="F101" i="6"/>
  <c r="AH100" i="6"/>
  <c r="F100" i="6"/>
  <c r="AH99" i="6"/>
  <c r="F99" i="6"/>
  <c r="AH98" i="6"/>
  <c r="F98" i="6"/>
  <c r="AH97" i="6"/>
  <c r="F97" i="6"/>
  <c r="AH96" i="6"/>
  <c r="F96" i="6"/>
  <c r="AH95" i="6"/>
  <c r="F95" i="6"/>
  <c r="AH94" i="6"/>
  <c r="F94" i="6"/>
  <c r="AH93" i="6"/>
  <c r="F93" i="6"/>
  <c r="AH92" i="6"/>
  <c r="F92" i="6"/>
  <c r="AH91" i="6"/>
  <c r="F91" i="6"/>
  <c r="AH90" i="6"/>
  <c r="F90" i="6"/>
  <c r="AH89" i="6"/>
  <c r="F89" i="6"/>
  <c r="AH88" i="6"/>
  <c r="F88" i="6"/>
  <c r="AH87" i="6"/>
  <c r="F87" i="6"/>
  <c r="AH86" i="6"/>
  <c r="F86" i="6"/>
  <c r="AH85" i="6"/>
  <c r="F85" i="6"/>
  <c r="AH84" i="6"/>
  <c r="F84" i="6"/>
  <c r="AH83" i="6"/>
  <c r="F83" i="6"/>
  <c r="AH82" i="6"/>
  <c r="F82" i="6"/>
  <c r="AH81" i="6"/>
  <c r="F81" i="6"/>
  <c r="AH80" i="6"/>
  <c r="F80" i="6"/>
  <c r="AH79" i="6"/>
  <c r="F79" i="6"/>
  <c r="AH78" i="6"/>
  <c r="F78" i="6"/>
  <c r="AH77" i="6"/>
  <c r="F77" i="6"/>
  <c r="AH76" i="6"/>
  <c r="F76" i="6"/>
  <c r="AH75" i="6"/>
  <c r="F75" i="6"/>
  <c r="AH74" i="6"/>
  <c r="F74" i="6"/>
  <c r="AH73" i="6"/>
  <c r="F73" i="6"/>
  <c r="AH72" i="6"/>
  <c r="F72" i="6"/>
  <c r="AH71" i="6"/>
  <c r="F71" i="6"/>
  <c r="AH70" i="6"/>
  <c r="F70" i="6"/>
  <c r="AH69" i="6"/>
  <c r="F69" i="6"/>
  <c r="AH68" i="6"/>
  <c r="F68" i="6"/>
  <c r="AH67" i="6"/>
  <c r="F67" i="6"/>
  <c r="AH66" i="6"/>
  <c r="F66" i="6"/>
  <c r="AH65" i="6"/>
  <c r="F65" i="6"/>
  <c r="AH64" i="6"/>
  <c r="F64" i="6"/>
  <c r="AH63" i="6"/>
  <c r="F63" i="6"/>
  <c r="AH62" i="6"/>
  <c r="F62" i="6"/>
  <c r="AH61" i="6"/>
  <c r="F61" i="6"/>
  <c r="AH60" i="6"/>
  <c r="F60" i="6"/>
  <c r="AH59" i="6"/>
  <c r="F59" i="6"/>
  <c r="AH58" i="6"/>
  <c r="F58" i="6"/>
  <c r="AH57" i="6"/>
  <c r="F57" i="6"/>
  <c r="AH56" i="6"/>
  <c r="F56" i="6"/>
  <c r="AH55" i="6"/>
  <c r="F55" i="6"/>
  <c r="AH54" i="6"/>
  <c r="F54" i="6"/>
  <c r="AH53" i="6"/>
  <c r="F53" i="6"/>
  <c r="AH52" i="6"/>
  <c r="F52" i="6"/>
  <c r="AH51" i="6"/>
  <c r="F51" i="6"/>
  <c r="AH50" i="6"/>
  <c r="F50" i="6"/>
  <c r="AH49" i="6"/>
  <c r="F49" i="6"/>
  <c r="AH48" i="6"/>
  <c r="F48" i="6"/>
  <c r="AH47" i="6"/>
  <c r="F47" i="6"/>
  <c r="AH46" i="6"/>
  <c r="F46" i="6"/>
  <c r="AH45" i="6"/>
  <c r="F45" i="6"/>
  <c r="AH44" i="6"/>
  <c r="F44" i="6"/>
  <c r="AH43" i="6"/>
  <c r="F43" i="6"/>
  <c r="AH42" i="6"/>
  <c r="F42" i="6"/>
  <c r="AH41" i="6"/>
  <c r="F41" i="6"/>
  <c r="AH40" i="6"/>
  <c r="F40" i="6"/>
  <c r="AH39" i="6"/>
  <c r="F39" i="6"/>
  <c r="AH38" i="6"/>
  <c r="AH37" i="6"/>
  <c r="F37" i="6"/>
  <c r="AH36" i="6"/>
  <c r="F36" i="6"/>
  <c r="AH35" i="6"/>
  <c r="F35" i="6"/>
  <c r="AH34" i="6"/>
  <c r="F34" i="6"/>
  <c r="AH33" i="6"/>
  <c r="F33" i="6"/>
  <c r="AH32" i="6"/>
  <c r="F32" i="6"/>
  <c r="AH31" i="6"/>
  <c r="F31" i="6"/>
  <c r="AH30" i="6"/>
  <c r="F30" i="6"/>
  <c r="AH29" i="6"/>
  <c r="F29" i="6"/>
  <c r="AH28" i="6"/>
  <c r="F28" i="6"/>
  <c r="AH27" i="6"/>
  <c r="F27" i="6"/>
  <c r="AH26" i="6"/>
  <c r="F26" i="6"/>
  <c r="AH25" i="6"/>
  <c r="F25" i="6"/>
  <c r="AH24" i="6"/>
  <c r="F24" i="6"/>
  <c r="AH23" i="6"/>
  <c r="F23" i="6"/>
  <c r="AH22" i="6"/>
  <c r="F22" i="6"/>
  <c r="AH21" i="6"/>
  <c r="F21" i="6"/>
  <c r="AH20" i="6"/>
  <c r="F20" i="6"/>
  <c r="AH19" i="6"/>
  <c r="F19" i="6"/>
  <c r="AH18" i="6"/>
  <c r="F18" i="6"/>
  <c r="AH17" i="6"/>
  <c r="F17" i="6"/>
  <c r="AH16" i="6"/>
  <c r="F16" i="6"/>
  <c r="AH15" i="6"/>
  <c r="F15" i="6"/>
  <c r="AH14" i="6"/>
  <c r="F14" i="6"/>
  <c r="AH13" i="6"/>
  <c r="F13" i="6"/>
  <c r="AH12" i="6"/>
  <c r="F12" i="6"/>
  <c r="AH11" i="6"/>
  <c r="F11" i="6"/>
  <c r="AH10" i="6"/>
  <c r="F10" i="6"/>
  <c r="AH9" i="6"/>
  <c r="F9" i="6"/>
  <c r="AH8" i="6"/>
  <c r="F8" i="6"/>
  <c r="AH7" i="6"/>
  <c r="F7" i="6"/>
  <c r="AH6" i="6"/>
  <c r="F6" i="6"/>
  <c r="AH5" i="6"/>
  <c r="F5" i="6"/>
  <c r="AH4" i="6"/>
  <c r="F4" i="6"/>
  <c r="AH3" i="6"/>
  <c r="F3" i="6"/>
  <c r="AH2" i="6"/>
  <c r="F2" i="6"/>
  <c r="I132" i="7" l="1"/>
  <c r="B132" i="7"/>
  <c r="I131" i="7"/>
  <c r="B131" i="7"/>
  <c r="I130" i="7"/>
  <c r="B130" i="7"/>
  <c r="I129" i="7"/>
  <c r="B129" i="7"/>
  <c r="AU39" i="7" s="1"/>
  <c r="I128" i="7"/>
  <c r="B128" i="7"/>
  <c r="I127" i="7"/>
  <c r="B127" i="7"/>
  <c r="I126" i="7"/>
  <c r="B126" i="7"/>
  <c r="I125" i="7"/>
  <c r="B125" i="7"/>
  <c r="AT41" i="7" s="1"/>
  <c r="I124" i="7"/>
  <c r="B124" i="7"/>
  <c r="I123" i="7"/>
  <c r="B123" i="7"/>
  <c r="I122" i="7"/>
  <c r="B122" i="7"/>
  <c r="I121" i="7"/>
  <c r="B121" i="7"/>
  <c r="I120" i="7"/>
  <c r="B120" i="7"/>
  <c r="I119" i="7"/>
  <c r="B119" i="7"/>
  <c r="I118" i="7"/>
  <c r="B118" i="7"/>
  <c r="I117" i="7"/>
  <c r="B117" i="7"/>
  <c r="I116" i="7"/>
  <c r="B116" i="7"/>
  <c r="I115" i="7"/>
  <c r="B115" i="7"/>
  <c r="I114" i="7"/>
  <c r="B114" i="7"/>
  <c r="I113" i="7"/>
  <c r="B113" i="7"/>
  <c r="I112" i="7"/>
  <c r="B112" i="7"/>
  <c r="I111" i="7"/>
  <c r="B111" i="7"/>
  <c r="AR35" i="7" s="1"/>
  <c r="I110" i="7"/>
  <c r="B110" i="7"/>
  <c r="I109" i="7"/>
  <c r="B109" i="7"/>
  <c r="I108" i="7"/>
  <c r="B108" i="7"/>
  <c r="I107" i="7"/>
  <c r="B107" i="7"/>
  <c r="I106" i="7"/>
  <c r="B106" i="7"/>
  <c r="I105" i="7"/>
  <c r="B105" i="7"/>
  <c r="I104" i="7"/>
  <c r="B104" i="7"/>
  <c r="I103" i="7"/>
  <c r="B103" i="7"/>
  <c r="I102" i="7"/>
  <c r="B102" i="7"/>
  <c r="I101" i="7"/>
  <c r="B101" i="7"/>
  <c r="AP34" i="7" s="1"/>
  <c r="I100" i="7"/>
  <c r="B100" i="7"/>
  <c r="I99" i="7"/>
  <c r="B99" i="7"/>
  <c r="AP38" i="7" s="1"/>
  <c r="I98" i="7"/>
  <c r="B98" i="7"/>
  <c r="I97" i="7"/>
  <c r="B97" i="7"/>
  <c r="I96" i="7"/>
  <c r="B96" i="7"/>
  <c r="I95" i="7"/>
  <c r="B95" i="7"/>
  <c r="I94" i="7"/>
  <c r="B94" i="7"/>
  <c r="I93" i="7"/>
  <c r="B93" i="7"/>
  <c r="I92" i="7"/>
  <c r="B92" i="7"/>
  <c r="I91" i="7"/>
  <c r="B91" i="7"/>
  <c r="I90" i="7"/>
  <c r="B90" i="7"/>
  <c r="I89" i="7"/>
  <c r="B89" i="7"/>
  <c r="I88" i="7"/>
  <c r="B88" i="7"/>
  <c r="I87" i="7"/>
  <c r="B87" i="7"/>
  <c r="AN38" i="7" s="1"/>
  <c r="I86" i="7"/>
  <c r="B86" i="7"/>
  <c r="I85" i="7"/>
  <c r="B85" i="7"/>
  <c r="I84" i="7"/>
  <c r="B84" i="7"/>
  <c r="I83" i="7"/>
  <c r="B83" i="7"/>
  <c r="I82" i="7"/>
  <c r="B82" i="7"/>
  <c r="I81" i="7"/>
  <c r="B81" i="7"/>
  <c r="I80" i="7"/>
  <c r="B80" i="7"/>
  <c r="I79" i="7"/>
  <c r="B79" i="7"/>
  <c r="I78" i="7"/>
  <c r="B78" i="7"/>
  <c r="I77" i="7"/>
  <c r="B77" i="7"/>
  <c r="I76" i="7"/>
  <c r="B76" i="7"/>
  <c r="I75" i="7"/>
  <c r="B75" i="7"/>
  <c r="AL34" i="7" s="1"/>
  <c r="I74" i="7"/>
  <c r="B74" i="7"/>
  <c r="I73" i="7"/>
  <c r="B73" i="7"/>
  <c r="I72" i="7"/>
  <c r="B72" i="7"/>
  <c r="I71" i="7"/>
  <c r="B71" i="7"/>
  <c r="AK43" i="7" s="1"/>
  <c r="I70" i="7"/>
  <c r="B70" i="7"/>
  <c r="I69" i="7"/>
  <c r="B69" i="7"/>
  <c r="I68" i="7"/>
  <c r="B68" i="7"/>
  <c r="I67" i="7"/>
  <c r="B67" i="7"/>
  <c r="I66" i="7"/>
  <c r="B66" i="7"/>
  <c r="I65" i="7"/>
  <c r="B65" i="7"/>
  <c r="I64" i="7"/>
  <c r="B64" i="7"/>
  <c r="I63" i="7"/>
  <c r="B63" i="7"/>
  <c r="AJ34" i="7" s="1"/>
  <c r="I62" i="7"/>
  <c r="B62" i="7"/>
  <c r="I61" i="7"/>
  <c r="B61" i="7"/>
  <c r="I60" i="7"/>
  <c r="B60" i="7"/>
  <c r="I59" i="7"/>
  <c r="B59" i="7"/>
  <c r="AI36" i="7" s="1"/>
  <c r="I58" i="7"/>
  <c r="B58" i="7"/>
  <c r="I57" i="7"/>
  <c r="B57" i="7"/>
  <c r="I56" i="7"/>
  <c r="B56" i="7"/>
  <c r="I55" i="7"/>
  <c r="B55" i="7"/>
  <c r="I54" i="7"/>
  <c r="B54" i="7"/>
  <c r="I53" i="7"/>
  <c r="B53" i="7"/>
  <c r="AH41" i="7" s="1"/>
  <c r="I52" i="7"/>
  <c r="B52" i="7"/>
  <c r="I51" i="7"/>
  <c r="B51" i="7"/>
  <c r="AH37" i="7" s="1"/>
  <c r="I50" i="7"/>
  <c r="B50" i="7"/>
  <c r="I49" i="7"/>
  <c r="B49" i="7"/>
  <c r="I48" i="7"/>
  <c r="B48" i="7"/>
  <c r="I47" i="7"/>
  <c r="B47" i="7"/>
  <c r="I46" i="7"/>
  <c r="B46" i="7"/>
  <c r="I45" i="7"/>
  <c r="B45" i="7"/>
  <c r="I44" i="7"/>
  <c r="B44" i="7"/>
  <c r="AU43" i="7"/>
  <c r="AT43" i="7"/>
  <c r="AS43" i="7"/>
  <c r="AR43" i="7"/>
  <c r="AQ43" i="7"/>
  <c r="AP43" i="7"/>
  <c r="AO43" i="7"/>
  <c r="AN43" i="7"/>
  <c r="AM43" i="7"/>
  <c r="AL43" i="7"/>
  <c r="AJ43" i="7"/>
  <c r="AI43" i="7"/>
  <c r="AH43" i="7"/>
  <c r="AG43" i="7"/>
  <c r="I43" i="7"/>
  <c r="B43" i="7"/>
  <c r="AU42" i="7"/>
  <c r="AT42" i="7"/>
  <c r="AS42" i="7"/>
  <c r="AR42" i="7"/>
  <c r="AQ42" i="7"/>
  <c r="AP42" i="7"/>
  <c r="AO42" i="7"/>
  <c r="AN42" i="7"/>
  <c r="AM42" i="7"/>
  <c r="AL42" i="7"/>
  <c r="AK42" i="7"/>
  <c r="AJ42" i="7"/>
  <c r="AI42" i="7"/>
  <c r="AH42" i="7"/>
  <c r="AG42" i="7"/>
  <c r="AF42" i="7"/>
  <c r="I42" i="7"/>
  <c r="AF34" i="7" s="1"/>
  <c r="B42" i="7"/>
  <c r="AU41" i="7"/>
  <c r="AS41" i="7"/>
  <c r="AR41" i="7"/>
  <c r="AQ41" i="7"/>
  <c r="AP41" i="7"/>
  <c r="AO41" i="7"/>
  <c r="AN41" i="7"/>
  <c r="AM41" i="7"/>
  <c r="AL41" i="7"/>
  <c r="AK41" i="7"/>
  <c r="AJ41" i="7"/>
  <c r="AI41" i="7"/>
  <c r="AG41" i="7"/>
  <c r="AA41" i="7"/>
  <c r="I41" i="7"/>
  <c r="AF38" i="7" s="1"/>
  <c r="B41" i="7"/>
  <c r="AU40" i="7"/>
  <c r="AT40" i="7"/>
  <c r="AS40" i="7"/>
  <c r="AR40" i="7"/>
  <c r="AQ40" i="7"/>
  <c r="AP40" i="7"/>
  <c r="AO40" i="7"/>
  <c r="AN40" i="7"/>
  <c r="AM40" i="7"/>
  <c r="AL40" i="7"/>
  <c r="AK40" i="7"/>
  <c r="AJ40" i="7"/>
  <c r="AI40" i="7"/>
  <c r="AH40" i="7"/>
  <c r="AG40" i="7"/>
  <c r="I40" i="7"/>
  <c r="B40" i="7"/>
  <c r="AT39" i="7"/>
  <c r="AS39" i="7"/>
  <c r="AR39" i="7"/>
  <c r="AQ39" i="7"/>
  <c r="AP39" i="7"/>
  <c r="AO39" i="7"/>
  <c r="AN39" i="7"/>
  <c r="AM39" i="7"/>
  <c r="AL39" i="7"/>
  <c r="AK39" i="7"/>
  <c r="AJ39" i="7"/>
  <c r="AI39" i="7"/>
  <c r="AH39" i="7"/>
  <c r="AG39" i="7"/>
  <c r="AF39" i="7"/>
  <c r="AD39" i="7"/>
  <c r="I39" i="7"/>
  <c r="AF43" i="7" s="1"/>
  <c r="B39" i="7"/>
  <c r="AF41" i="7" s="1"/>
  <c r="AU38" i="7"/>
  <c r="AT38" i="7"/>
  <c r="AS38" i="7"/>
  <c r="AR38" i="7"/>
  <c r="AQ38" i="7"/>
  <c r="AO38" i="7"/>
  <c r="AM38" i="7"/>
  <c r="AL38" i="7"/>
  <c r="AK38" i="7"/>
  <c r="AJ38" i="7"/>
  <c r="AI38" i="7"/>
  <c r="AH38" i="7"/>
  <c r="AG38" i="7"/>
  <c r="I38" i="7"/>
  <c r="B38" i="7"/>
  <c r="AF40" i="7" s="1"/>
  <c r="AU37" i="7"/>
  <c r="AT37" i="7"/>
  <c r="AS37" i="7"/>
  <c r="AR37" i="7"/>
  <c r="AQ37" i="7"/>
  <c r="AP37" i="7"/>
  <c r="AO37" i="7"/>
  <c r="AN37" i="7"/>
  <c r="AM37" i="7"/>
  <c r="AL37" i="7"/>
  <c r="AK37" i="7"/>
  <c r="AJ37" i="7"/>
  <c r="AI37" i="7"/>
  <c r="AG37" i="7"/>
  <c r="AF37" i="7"/>
  <c r="AB37" i="7"/>
  <c r="I37" i="7"/>
  <c r="B37" i="7"/>
  <c r="AU36" i="7"/>
  <c r="AT36" i="7"/>
  <c r="AS36" i="7"/>
  <c r="AR36" i="7"/>
  <c r="AQ36" i="7"/>
  <c r="AP36" i="7"/>
  <c r="AO36" i="7"/>
  <c r="AN36" i="7"/>
  <c r="AM36" i="7"/>
  <c r="AL36" i="7"/>
  <c r="AK36" i="7"/>
  <c r="AJ36" i="7"/>
  <c r="AH36" i="7"/>
  <c r="AG36" i="7"/>
  <c r="AF36" i="7"/>
  <c r="Z36" i="7"/>
  <c r="I36" i="7"/>
  <c r="AE37" i="7" s="1"/>
  <c r="B36" i="7"/>
  <c r="AE42" i="7" s="1"/>
  <c r="AU35" i="7"/>
  <c r="AT35" i="7"/>
  <c r="AS35" i="7"/>
  <c r="AQ35" i="7"/>
  <c r="AP35" i="7"/>
  <c r="AO35" i="7"/>
  <c r="AN35" i="7"/>
  <c r="AM35" i="7"/>
  <c r="AL35" i="7"/>
  <c r="AK35" i="7"/>
  <c r="AJ35" i="7"/>
  <c r="AI35" i="7"/>
  <c r="AH35" i="7"/>
  <c r="AG35" i="7"/>
  <c r="AF35" i="7"/>
  <c r="I35" i="7"/>
  <c r="AE39" i="7" s="1"/>
  <c r="B35" i="7"/>
  <c r="AU34" i="7"/>
  <c r="AT34" i="7"/>
  <c r="AS34" i="7"/>
  <c r="AR34" i="7"/>
  <c r="AQ34" i="7"/>
  <c r="AO34" i="7"/>
  <c r="AN34" i="7"/>
  <c r="AM34" i="7"/>
  <c r="AK34" i="7"/>
  <c r="AI34" i="7"/>
  <c r="AH34" i="7"/>
  <c r="AG34" i="7"/>
  <c r="AE34" i="7"/>
  <c r="I34" i="7"/>
  <c r="AE40" i="7" s="1"/>
  <c r="B34" i="7"/>
  <c r="AE35" i="7" s="1"/>
  <c r="AU33" i="7"/>
  <c r="AT33" i="7"/>
  <c r="AS33" i="7"/>
  <c r="AR33" i="7"/>
  <c r="AQ33" i="7"/>
  <c r="AP33" i="7"/>
  <c r="AO33" i="7"/>
  <c r="AN33" i="7"/>
  <c r="AM33" i="7"/>
  <c r="AL33" i="7"/>
  <c r="AK33" i="7"/>
  <c r="AJ33" i="7"/>
  <c r="AI33" i="7"/>
  <c r="AH33" i="7"/>
  <c r="AG33" i="7"/>
  <c r="AF33" i="7"/>
  <c r="AE33" i="7"/>
  <c r="AC33" i="7"/>
  <c r="I33" i="7"/>
  <c r="AE41" i="7" s="1"/>
  <c r="B33" i="7"/>
  <c r="AE38" i="7" s="1"/>
  <c r="I32" i="7"/>
  <c r="AE36" i="7" s="1"/>
  <c r="B32" i="7"/>
  <c r="AE43" i="7" s="1"/>
  <c r="I31" i="7"/>
  <c r="B31" i="7"/>
  <c r="I30" i="7"/>
  <c r="AD34" i="7" s="1"/>
  <c r="B30" i="7"/>
  <c r="AD37" i="7" s="1"/>
  <c r="I29" i="7"/>
  <c r="AD38" i="7" s="1"/>
  <c r="B29" i="7"/>
  <c r="AD36" i="7" s="1"/>
  <c r="I28" i="7"/>
  <c r="AD42" i="7" s="1"/>
  <c r="B28" i="7"/>
  <c r="AD41" i="7" s="1"/>
  <c r="I27" i="7"/>
  <c r="AD43" i="7" s="1"/>
  <c r="B27" i="7"/>
  <c r="AD40" i="7" s="1"/>
  <c r="I26" i="7"/>
  <c r="AD33" i="7" s="1"/>
  <c r="B26" i="7"/>
  <c r="AD35" i="7" s="1"/>
  <c r="I25" i="7"/>
  <c r="B25" i="7"/>
  <c r="I24" i="7"/>
  <c r="AC36" i="7" s="1"/>
  <c r="B24" i="7"/>
  <c r="AC42" i="7" s="1"/>
  <c r="I23" i="7"/>
  <c r="AC37" i="7" s="1"/>
  <c r="B23" i="7"/>
  <c r="AC39" i="7" s="1"/>
  <c r="I22" i="7"/>
  <c r="AC41" i="7" s="1"/>
  <c r="B22" i="7"/>
  <c r="AC34" i="7" s="1"/>
  <c r="Z21" i="7"/>
  <c r="I21" i="7"/>
  <c r="AC40" i="7" s="1"/>
  <c r="B21" i="7"/>
  <c r="AC38" i="7" s="1"/>
  <c r="I20" i="7"/>
  <c r="AC35" i="7" s="1"/>
  <c r="B20" i="7"/>
  <c r="AC43" i="7" s="1"/>
  <c r="I19" i="7"/>
  <c r="B19" i="7"/>
  <c r="I18" i="7"/>
  <c r="AB34" i="7" s="1"/>
  <c r="B18" i="7"/>
  <c r="AB36" i="7" s="1"/>
  <c r="I17" i="7"/>
  <c r="AB39" i="7" s="1"/>
  <c r="B17" i="7"/>
  <c r="AB41" i="7" s="1"/>
  <c r="I16" i="7"/>
  <c r="AB42" i="7" s="1"/>
  <c r="B16" i="7"/>
  <c r="AB40" i="7" s="1"/>
  <c r="I15" i="7"/>
  <c r="AB38" i="7" s="1"/>
  <c r="B15" i="7"/>
  <c r="AB35" i="7" s="1"/>
  <c r="I14" i="7"/>
  <c r="AB33" i="7" s="1"/>
  <c r="B14" i="7"/>
  <c r="AB43" i="7" s="1"/>
  <c r="S13" i="7"/>
  <c r="R13" i="7"/>
  <c r="N13" i="7"/>
  <c r="I13" i="7"/>
  <c r="B13" i="7"/>
  <c r="S12" i="7"/>
  <c r="R12" i="7"/>
  <c r="T12" i="7" s="1"/>
  <c r="N12" i="7"/>
  <c r="I12" i="7"/>
  <c r="AA35" i="7" s="1"/>
  <c r="B12" i="7"/>
  <c r="S11" i="7"/>
  <c r="R11" i="7"/>
  <c r="N11" i="7"/>
  <c r="I11" i="7"/>
  <c r="AA37" i="7" s="1"/>
  <c r="B11" i="7"/>
  <c r="AA33" i="7" s="1"/>
  <c r="S10" i="7"/>
  <c r="R10" i="7"/>
  <c r="N10" i="7"/>
  <c r="I10" i="7"/>
  <c r="AA36" i="7" s="1"/>
  <c r="B10" i="7"/>
  <c r="AA39" i="7" s="1"/>
  <c r="S9" i="7"/>
  <c r="R9" i="7"/>
  <c r="N9" i="7"/>
  <c r="I9" i="7"/>
  <c r="AA40" i="7" s="1"/>
  <c r="B9" i="7"/>
  <c r="AA34" i="7" s="1"/>
  <c r="S8" i="7"/>
  <c r="R8" i="7"/>
  <c r="N8" i="7"/>
  <c r="I8" i="7"/>
  <c r="AA43" i="7" s="1"/>
  <c r="B8" i="7"/>
  <c r="AA38" i="7" s="1"/>
  <c r="S7" i="7"/>
  <c r="T7" i="7" s="1"/>
  <c r="R7" i="7"/>
  <c r="N7" i="7"/>
  <c r="I7" i="7"/>
  <c r="B7" i="7"/>
  <c r="U6" i="7"/>
  <c r="S6" i="7"/>
  <c r="R6" i="7"/>
  <c r="Q6" i="7"/>
  <c r="P6" i="7"/>
  <c r="O6" i="7"/>
  <c r="N6" i="7"/>
  <c r="I6" i="7"/>
  <c r="U7" i="7" s="1"/>
  <c r="B6" i="7"/>
  <c r="U11" i="7" s="1"/>
  <c r="S5" i="7"/>
  <c r="R5" i="7"/>
  <c r="N5" i="7"/>
  <c r="I5" i="7"/>
  <c r="O9" i="7" s="1"/>
  <c r="B5" i="7"/>
  <c r="U10" i="7" s="1"/>
  <c r="S4" i="7"/>
  <c r="R4" i="7"/>
  <c r="O4" i="7"/>
  <c r="N4" i="7"/>
  <c r="I4" i="7"/>
  <c r="Z34" i="7" s="1"/>
  <c r="B4" i="7"/>
  <c r="Z35" i="7" s="1"/>
  <c r="S3" i="7"/>
  <c r="R3" i="7"/>
  <c r="N3" i="7"/>
  <c r="I3" i="7"/>
  <c r="Z33" i="7" s="1"/>
  <c r="B3" i="7"/>
  <c r="U8" i="7" s="1"/>
  <c r="I2" i="7"/>
  <c r="O12" i="7" s="1"/>
  <c r="B2" i="7"/>
  <c r="T3" i="7" l="1"/>
  <c r="T9" i="7"/>
  <c r="T8" i="7"/>
  <c r="P7" i="7"/>
  <c r="T10" i="7"/>
  <c r="P3" i="7"/>
  <c r="T11" i="7"/>
  <c r="T4" i="7"/>
  <c r="T5" i="7"/>
  <c r="T6" i="7"/>
  <c r="V6" i="7" s="1"/>
  <c r="O8" i="7"/>
  <c r="V8" i="7" s="1"/>
  <c r="Q10" i="7"/>
  <c r="P11" i="7"/>
  <c r="U13" i="7"/>
  <c r="Q13" i="7"/>
  <c r="P13" i="7"/>
  <c r="Z43" i="7"/>
  <c r="Z28" i="7"/>
  <c r="AA28" i="7" s="1"/>
  <c r="AB28" i="7" s="1"/>
  <c r="AC28" i="7" s="1"/>
  <c r="AD28" i="7" s="1"/>
  <c r="AE28" i="7" s="1"/>
  <c r="AF28" i="7" s="1"/>
  <c r="AG28" i="7" s="1"/>
  <c r="AH28" i="7" s="1"/>
  <c r="AI28" i="7" s="1"/>
  <c r="AJ28" i="7" s="1"/>
  <c r="AK28" i="7" s="1"/>
  <c r="AL28" i="7" s="1"/>
  <c r="AM28" i="7" s="1"/>
  <c r="AN28" i="7" s="1"/>
  <c r="AO28" i="7" s="1"/>
  <c r="AP28" i="7" s="1"/>
  <c r="AQ28" i="7" s="1"/>
  <c r="AR28" i="7" s="1"/>
  <c r="AS28" i="7" s="1"/>
  <c r="AT28" i="7" s="1"/>
  <c r="AU28" i="7" s="1"/>
  <c r="Q3" i="7"/>
  <c r="U3" i="7"/>
  <c r="P4" i="7"/>
  <c r="Z40" i="7"/>
  <c r="Z25" i="7"/>
  <c r="AA25" i="7" s="1"/>
  <c r="AB25" i="7" s="1"/>
  <c r="AC25" i="7" s="1"/>
  <c r="AD25" i="7" s="1"/>
  <c r="AE25" i="7" s="1"/>
  <c r="AF25" i="7" s="1"/>
  <c r="AG25" i="7" s="1"/>
  <c r="AH25" i="7" s="1"/>
  <c r="AI25" i="7" s="1"/>
  <c r="AJ25" i="7" s="1"/>
  <c r="AK25" i="7" s="1"/>
  <c r="AL25" i="7" s="1"/>
  <c r="AM25" i="7" s="1"/>
  <c r="AN25" i="7" s="1"/>
  <c r="AO25" i="7" s="1"/>
  <c r="AP25" i="7" s="1"/>
  <c r="AQ25" i="7" s="1"/>
  <c r="AR25" i="7" s="1"/>
  <c r="AS25" i="7" s="1"/>
  <c r="AT25" i="7" s="1"/>
  <c r="AU25" i="7" s="1"/>
  <c r="O5" i="7"/>
  <c r="Q7" i="7"/>
  <c r="P8" i="7"/>
  <c r="Q11" i="7"/>
  <c r="U12" i="7"/>
  <c r="V12" i="7" s="1"/>
  <c r="Q12" i="7"/>
  <c r="AA42" i="7"/>
  <c r="P12" i="7"/>
  <c r="O13" i="7"/>
  <c r="Z42" i="7"/>
  <c r="Z27" i="7"/>
  <c r="AA27" i="7" s="1"/>
  <c r="AB27" i="7" s="1"/>
  <c r="AC27" i="7" s="1"/>
  <c r="AD27" i="7" s="1"/>
  <c r="AE27" i="7" s="1"/>
  <c r="AF27" i="7" s="1"/>
  <c r="AG27" i="7" s="1"/>
  <c r="AH27" i="7" s="1"/>
  <c r="AI27" i="7" s="1"/>
  <c r="AJ27" i="7" s="1"/>
  <c r="AK27" i="7" s="1"/>
  <c r="AL27" i="7" s="1"/>
  <c r="AM27" i="7" s="1"/>
  <c r="AN27" i="7" s="1"/>
  <c r="AO27" i="7" s="1"/>
  <c r="AP27" i="7" s="1"/>
  <c r="AQ27" i="7" s="1"/>
  <c r="AR27" i="7" s="1"/>
  <c r="AS27" i="7" s="1"/>
  <c r="AT27" i="7" s="1"/>
  <c r="AU27" i="7" s="1"/>
  <c r="Q4" i="7"/>
  <c r="U4" i="7"/>
  <c r="V4" i="7" s="1"/>
  <c r="Z39" i="7"/>
  <c r="Z24" i="7"/>
  <c r="AA24" i="7" s="1"/>
  <c r="AB24" i="7" s="1"/>
  <c r="AC24" i="7" s="1"/>
  <c r="AD24" i="7" s="1"/>
  <c r="AE24" i="7" s="1"/>
  <c r="AF24" i="7" s="1"/>
  <c r="AG24" i="7" s="1"/>
  <c r="AH24" i="7" s="1"/>
  <c r="AI24" i="7" s="1"/>
  <c r="AJ24" i="7" s="1"/>
  <c r="AK24" i="7" s="1"/>
  <c r="AL24" i="7" s="1"/>
  <c r="AM24" i="7" s="1"/>
  <c r="AN24" i="7" s="1"/>
  <c r="AO24" i="7" s="1"/>
  <c r="AP24" i="7" s="1"/>
  <c r="AQ24" i="7" s="1"/>
  <c r="AR24" i="7" s="1"/>
  <c r="AS24" i="7" s="1"/>
  <c r="AT24" i="7" s="1"/>
  <c r="AU24" i="7" s="1"/>
  <c r="P5" i="7"/>
  <c r="Z41" i="7"/>
  <c r="Z26" i="7"/>
  <c r="AA26" i="7" s="1"/>
  <c r="AB26" i="7" s="1"/>
  <c r="AC26" i="7" s="1"/>
  <c r="AD26" i="7" s="1"/>
  <c r="AE26" i="7" s="1"/>
  <c r="AF26" i="7" s="1"/>
  <c r="AG26" i="7" s="1"/>
  <c r="AH26" i="7" s="1"/>
  <c r="AI26" i="7" s="1"/>
  <c r="AJ26" i="7" s="1"/>
  <c r="AK26" i="7" s="1"/>
  <c r="AL26" i="7" s="1"/>
  <c r="AM26" i="7" s="1"/>
  <c r="AN26" i="7" s="1"/>
  <c r="AO26" i="7" s="1"/>
  <c r="AP26" i="7" s="1"/>
  <c r="AQ26" i="7" s="1"/>
  <c r="AR26" i="7" s="1"/>
  <c r="AS26" i="7" s="1"/>
  <c r="AT26" i="7" s="1"/>
  <c r="AU26" i="7" s="1"/>
  <c r="Q8" i="7"/>
  <c r="P9" i="7"/>
  <c r="O10" i="7"/>
  <c r="V10" i="7" s="1"/>
  <c r="T13" i="7"/>
  <c r="Z18" i="7"/>
  <c r="AA18" i="7" s="1"/>
  <c r="AB18" i="7" s="1"/>
  <c r="AC18" i="7" s="1"/>
  <c r="AD18" i="7" s="1"/>
  <c r="AE18" i="7" s="1"/>
  <c r="AF18" i="7" s="1"/>
  <c r="AG18" i="7" s="1"/>
  <c r="AH18" i="7" s="1"/>
  <c r="AI18" i="7" s="1"/>
  <c r="AJ18" i="7" s="1"/>
  <c r="AK18" i="7" s="1"/>
  <c r="AL18" i="7" s="1"/>
  <c r="AM18" i="7" s="1"/>
  <c r="AN18" i="7" s="1"/>
  <c r="AO18" i="7" s="1"/>
  <c r="AP18" i="7" s="1"/>
  <c r="AQ18" i="7" s="1"/>
  <c r="AR18" i="7" s="1"/>
  <c r="AS18" i="7" s="1"/>
  <c r="AT18" i="7" s="1"/>
  <c r="AU18" i="7" s="1"/>
  <c r="Z19" i="7"/>
  <c r="AA19" i="7" s="1"/>
  <c r="AB19" i="7" s="1"/>
  <c r="AC19" i="7" s="1"/>
  <c r="AD19" i="7" s="1"/>
  <c r="AE19" i="7" s="1"/>
  <c r="AF19" i="7" s="1"/>
  <c r="AG19" i="7" s="1"/>
  <c r="AH19" i="7" s="1"/>
  <c r="AI19" i="7" s="1"/>
  <c r="AJ19" i="7" s="1"/>
  <c r="AK19" i="7" s="1"/>
  <c r="AL19" i="7" s="1"/>
  <c r="AM19" i="7" s="1"/>
  <c r="AN19" i="7" s="1"/>
  <c r="AO19" i="7" s="1"/>
  <c r="AP19" i="7" s="1"/>
  <c r="AQ19" i="7" s="1"/>
  <c r="AR19" i="7" s="1"/>
  <c r="AS19" i="7" s="1"/>
  <c r="AT19" i="7" s="1"/>
  <c r="AU19" i="7" s="1"/>
  <c r="Z20" i="7"/>
  <c r="AA20" i="7" s="1"/>
  <c r="AB20" i="7" s="1"/>
  <c r="AC20" i="7" s="1"/>
  <c r="AD20" i="7" s="1"/>
  <c r="AE20" i="7" s="1"/>
  <c r="AF20" i="7" s="1"/>
  <c r="AG20" i="7" s="1"/>
  <c r="AH20" i="7" s="1"/>
  <c r="AI20" i="7" s="1"/>
  <c r="AJ20" i="7" s="1"/>
  <c r="AK20" i="7" s="1"/>
  <c r="AL20" i="7" s="1"/>
  <c r="AM20" i="7" s="1"/>
  <c r="AN20" i="7" s="1"/>
  <c r="AO20" i="7" s="1"/>
  <c r="AP20" i="7" s="1"/>
  <c r="AQ20" i="7" s="1"/>
  <c r="AR20" i="7" s="1"/>
  <c r="AS20" i="7" s="1"/>
  <c r="AT20" i="7" s="1"/>
  <c r="AU20" i="7" s="1"/>
  <c r="AA21" i="7"/>
  <c r="AB21" i="7" s="1"/>
  <c r="AC21" i="7" s="1"/>
  <c r="AD21" i="7" s="1"/>
  <c r="AE21" i="7" s="1"/>
  <c r="AF21" i="7" s="1"/>
  <c r="AG21" i="7" s="1"/>
  <c r="AH21" i="7" s="1"/>
  <c r="AI21" i="7" s="1"/>
  <c r="AJ21" i="7" s="1"/>
  <c r="AK21" i="7" s="1"/>
  <c r="AL21" i="7" s="1"/>
  <c r="AM21" i="7" s="1"/>
  <c r="AN21" i="7" s="1"/>
  <c r="AO21" i="7" s="1"/>
  <c r="AP21" i="7" s="1"/>
  <c r="AQ21" i="7" s="1"/>
  <c r="AR21" i="7" s="1"/>
  <c r="AS21" i="7" s="1"/>
  <c r="AT21" i="7" s="1"/>
  <c r="AU21" i="7" s="1"/>
  <c r="Z38" i="7"/>
  <c r="Z23" i="7"/>
  <c r="AA23" i="7" s="1"/>
  <c r="AB23" i="7" s="1"/>
  <c r="AC23" i="7" s="1"/>
  <c r="AD23" i="7" s="1"/>
  <c r="AE23" i="7" s="1"/>
  <c r="AF23" i="7" s="1"/>
  <c r="AG23" i="7" s="1"/>
  <c r="AH23" i="7" s="1"/>
  <c r="AI23" i="7" s="1"/>
  <c r="AJ23" i="7" s="1"/>
  <c r="AK23" i="7" s="1"/>
  <c r="AL23" i="7" s="1"/>
  <c r="AM23" i="7" s="1"/>
  <c r="AN23" i="7" s="1"/>
  <c r="AO23" i="7" s="1"/>
  <c r="AP23" i="7" s="1"/>
  <c r="AQ23" i="7" s="1"/>
  <c r="AR23" i="7" s="1"/>
  <c r="AS23" i="7" s="1"/>
  <c r="AT23" i="7" s="1"/>
  <c r="AU23" i="7" s="1"/>
  <c r="O3" i="7"/>
  <c r="Q5" i="7"/>
  <c r="U5" i="7"/>
  <c r="Z37" i="7"/>
  <c r="Z22" i="7"/>
  <c r="AA22" i="7" s="1"/>
  <c r="AB22" i="7" s="1"/>
  <c r="AC22" i="7" s="1"/>
  <c r="AD22" i="7" s="1"/>
  <c r="AE22" i="7" s="1"/>
  <c r="AF22" i="7" s="1"/>
  <c r="AG22" i="7" s="1"/>
  <c r="AH22" i="7" s="1"/>
  <c r="AI22" i="7" s="1"/>
  <c r="AJ22" i="7" s="1"/>
  <c r="AK22" i="7" s="1"/>
  <c r="AL22" i="7" s="1"/>
  <c r="AM22" i="7" s="1"/>
  <c r="AN22" i="7" s="1"/>
  <c r="AO22" i="7" s="1"/>
  <c r="AP22" i="7" s="1"/>
  <c r="AQ22" i="7" s="1"/>
  <c r="AR22" i="7" s="1"/>
  <c r="AS22" i="7" s="1"/>
  <c r="AT22" i="7" s="1"/>
  <c r="AU22" i="7" s="1"/>
  <c r="O7" i="7"/>
  <c r="V7" i="7" s="1"/>
  <c r="Q9" i="7"/>
  <c r="U9" i="7"/>
  <c r="V9" i="7" s="1"/>
  <c r="P10" i="7"/>
  <c r="O11" i="7"/>
  <c r="V11" i="7" s="1"/>
  <c r="R13" i="1" l="1"/>
  <c r="R10" i="1"/>
  <c r="O13" i="1"/>
  <c r="O10" i="1"/>
  <c r="Q13" i="1"/>
  <c r="P13" i="1"/>
  <c r="R7" i="1"/>
  <c r="Q7" i="1"/>
  <c r="Q10" i="1"/>
  <c r="O7" i="1"/>
  <c r="P7" i="1"/>
  <c r="P10" i="1"/>
  <c r="V3" i="7"/>
  <c r="L7" i="7" s="1"/>
  <c r="L9" i="7"/>
  <c r="V5" i="7"/>
  <c r="V13" i="7"/>
  <c r="L8" i="7" l="1"/>
  <c r="L10" i="7"/>
  <c r="L13" i="7"/>
  <c r="L12" i="7"/>
  <c r="L3" i="7"/>
  <c r="L6" i="7"/>
  <c r="L5" i="7"/>
  <c r="L4" i="7"/>
  <c r="L11" i="7"/>
  <c r="AE13" i="7" l="1"/>
  <c r="AA13" i="7"/>
  <c r="AF12" i="7"/>
  <c r="AB12" i="7"/>
  <c r="AD13" i="7"/>
  <c r="Z13" i="7"/>
  <c r="AE12" i="7"/>
  <c r="AA12" i="7"/>
  <c r="AF11" i="7"/>
  <c r="AB11" i="7"/>
  <c r="AH13" i="7"/>
  <c r="AC13" i="7"/>
  <c r="AF13" i="7"/>
  <c r="AC12" i="7"/>
  <c r="AE11" i="7"/>
  <c r="Z11" i="7"/>
  <c r="AD10" i="7"/>
  <c r="Z10" i="7"/>
  <c r="AE9" i="7"/>
  <c r="AA9" i="7"/>
  <c r="AF8" i="7"/>
  <c r="AB8" i="7"/>
  <c r="AH7" i="7"/>
  <c r="AC7" i="7"/>
  <c r="Y7" i="7"/>
  <c r="AD6" i="7"/>
  <c r="Z6" i="7"/>
  <c r="AE5" i="7"/>
  <c r="AA5" i="7"/>
  <c r="AF4" i="7"/>
  <c r="AB4" i="7"/>
  <c r="AH3" i="7"/>
  <c r="AC3" i="7"/>
  <c r="Y3" i="7"/>
  <c r="AB13" i="7"/>
  <c r="Z12" i="7"/>
  <c r="AD11" i="7"/>
  <c r="Y11" i="7"/>
  <c r="AH10" i="7"/>
  <c r="AC10" i="7"/>
  <c r="Y10" i="7"/>
  <c r="AD9" i="7"/>
  <c r="Z9" i="7"/>
  <c r="AE8" i="7"/>
  <c r="AA8" i="7"/>
  <c r="AF7" i="7"/>
  <c r="AB7" i="7"/>
  <c r="AH6" i="7"/>
  <c r="AC6" i="7"/>
  <c r="Y6" i="7"/>
  <c r="AD5" i="7"/>
  <c r="Z5" i="7"/>
  <c r="AE4" i="7"/>
  <c r="AA4" i="7"/>
  <c r="AF3" i="7"/>
  <c r="AB3" i="7"/>
  <c r="AH4" i="7"/>
  <c r="AC4" i="7"/>
  <c r="Y4" i="7"/>
  <c r="Y13" i="7"/>
  <c r="AH12" i="7"/>
  <c r="Y12" i="7"/>
  <c r="AC11" i="7"/>
  <c r="AF10" i="7"/>
  <c r="AB10" i="7"/>
  <c r="AH9" i="7"/>
  <c r="AC9" i="7"/>
  <c r="Y9" i="7"/>
  <c r="AD8" i="7"/>
  <c r="Z8" i="7"/>
  <c r="AE7" i="7"/>
  <c r="AA7" i="7"/>
  <c r="AF6" i="7"/>
  <c r="AB6" i="7"/>
  <c r="AH5" i="7"/>
  <c r="AC5" i="7"/>
  <c r="Y5" i="7"/>
  <c r="AD4" i="7"/>
  <c r="Z4" i="7"/>
  <c r="AE3" i="7"/>
  <c r="AA3" i="7"/>
  <c r="AF5" i="7"/>
  <c r="AB5" i="7"/>
  <c r="AD12" i="7"/>
  <c r="AH11" i="7"/>
  <c r="AA11" i="7"/>
  <c r="AE10" i="7"/>
  <c r="AA10" i="7"/>
  <c r="AF9" i="7"/>
  <c r="AB9" i="7"/>
  <c r="AH8" i="7"/>
  <c r="AC8" i="7"/>
  <c r="Y8" i="7"/>
  <c r="AD7" i="7"/>
  <c r="Z7" i="7"/>
  <c r="AE6" i="7"/>
  <c r="AA6" i="7"/>
  <c r="AD3" i="7"/>
  <c r="Z3" i="7"/>
</calcChain>
</file>

<file path=xl/sharedStrings.xml><?xml version="1.0" encoding="utf-8"?>
<sst xmlns="http://schemas.openxmlformats.org/spreadsheetml/2006/main" count="1249" uniqueCount="367">
  <si>
    <t>Départ</t>
  </si>
  <si>
    <t>Arrivée</t>
  </si>
  <si>
    <t>Temps écoulé</t>
  </si>
  <si>
    <t>Temps du match</t>
  </si>
  <si>
    <t>Club</t>
  </si>
  <si>
    <t>Nom</t>
  </si>
  <si>
    <t>Année de naissance</t>
  </si>
  <si>
    <t>Age</t>
  </si>
  <si>
    <t>Nationalité</t>
  </si>
  <si>
    <t>A</t>
  </si>
  <si>
    <t>U23</t>
  </si>
  <si>
    <t>U21</t>
  </si>
  <si>
    <t>U19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</si>
  <si>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</si>
  <si>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</si>
  <si>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</si>
  <si>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</si>
  <si>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</si>
  <si>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</si>
  <si>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</si>
  <si>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</si>
  <si>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</si>
  <si>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</si>
  <si>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</si>
  <si>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</si>
  <si>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</si>
  <si>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</si>
  <si>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</si>
  <si>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</si>
  <si>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</si>
  <si>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</si>
  <si>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</si>
  <si>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</si>
  <si>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</si>
  <si>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</si>
  <si>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Nombre total de convocation</t>
  </si>
  <si>
    <t>Béthune Futsal</t>
  </si>
  <si>
    <t>ABDELLAH EL BALAOUI</t>
  </si>
  <si>
    <t>France</t>
  </si>
  <si>
    <t>AMAURY DELBERGUE</t>
  </si>
  <si>
    <t>ANDERSON GONCALVES</t>
  </si>
  <si>
    <t>Brésil</t>
  </si>
  <si>
    <t>ARNAUD PAPIN</t>
  </si>
  <si>
    <t>AURELIEN AMDOUNI</t>
  </si>
  <si>
    <t>CONRADO SAMPAIO</t>
  </si>
  <si>
    <t>FELIPE MANFROI</t>
  </si>
  <si>
    <t>Italie</t>
  </si>
  <si>
    <t>GABRIEL BUCKSON</t>
  </si>
  <si>
    <t>Suisse</t>
  </si>
  <si>
    <t>HUGO JAVIER MARTINEZ VILLALBA</t>
  </si>
  <si>
    <t>Paraguay</t>
  </si>
  <si>
    <t>KRISTIAN MEDON</t>
  </si>
  <si>
    <t>Slovaquie</t>
  </si>
  <si>
    <t>LIAM ANSART</t>
  </si>
  <si>
    <t>LILIAN MARGUET</t>
  </si>
  <si>
    <t>MARVIN PERKOVIC</t>
  </si>
  <si>
    <t>Croatie</t>
  </si>
  <si>
    <t>NICOLAS MENENDEZ</t>
  </si>
  <si>
    <t>REDA BELLA</t>
  </si>
  <si>
    <t>RICHARD MANUEL REJALA MENDOZA</t>
  </si>
  <si>
    <t>SERGI ORIOL GOMEZ JIMENEZ</t>
  </si>
  <si>
    <t>Espagne</t>
  </si>
  <si>
    <t>THOMAS MAGNIEN</t>
  </si>
  <si>
    <t>YACINE KASMI</t>
  </si>
  <si>
    <t>Maroc</t>
  </si>
  <si>
    <t>Etoile Lavaloise</t>
  </si>
  <si>
    <t>ABDESSAMAD MOHAMMED</t>
  </si>
  <si>
    <t>BILAL BAKKALI</t>
  </si>
  <si>
    <t>DIEGO NAPOLES</t>
  </si>
  <si>
    <t>ENZO GEHAN</t>
  </si>
  <si>
    <t>JULES AMIARD</t>
  </si>
  <si>
    <t>KAIQUE DENER IVO DE SOUZA</t>
  </si>
  <si>
    <t>KHALID AMZIL</t>
  </si>
  <si>
    <t>LOUIS MARQUET</t>
  </si>
  <si>
    <t>MAMADOU DIABY</t>
  </si>
  <si>
    <t>Guinée</t>
  </si>
  <si>
    <t>MILO MORICE</t>
  </si>
  <si>
    <t>SOUFIANE EL MESRAR</t>
  </si>
  <si>
    <t>SOUHEIL MOUHOUDINE</t>
  </si>
  <si>
    <t>THOMAS LEMARIE</t>
  </si>
  <si>
    <t>FC Kingersheim</t>
  </si>
  <si>
    <t>ADAMA TALL</t>
  </si>
  <si>
    <t>BILAL KHALFOUN</t>
  </si>
  <si>
    <t>CEDRIC DEGRAS</t>
  </si>
  <si>
    <t>DANIIL KRYVITSKI</t>
  </si>
  <si>
    <t>Biélorussie</t>
  </si>
  <si>
    <t>EMMANUEL GIOVINAZZO</t>
  </si>
  <si>
    <t>FRANCISCO PEREIRA JUNIOR</t>
  </si>
  <si>
    <t>HENRIQUE COSTA DA SILVA</t>
  </si>
  <si>
    <t>Arménie</t>
  </si>
  <si>
    <t>HICHAM TITEBAH</t>
  </si>
  <si>
    <t>INZA KONE</t>
  </si>
  <si>
    <t>JESUS QUILES PANIAGUA</t>
  </si>
  <si>
    <t>JONATHAN HENRIQUE DE SOUSA</t>
  </si>
  <si>
    <t>MAROUANE ABARKI</t>
  </si>
  <si>
    <t>MICHAEL GUEMADI</t>
  </si>
  <si>
    <t>MOUSSA HADDAD</t>
  </si>
  <si>
    <t>RAUL VILLAVERDE CABRERA</t>
  </si>
  <si>
    <t>ROBERTO ILAIMAHARITRA</t>
  </si>
  <si>
    <t>SALIM DRIDI</t>
  </si>
  <si>
    <t>WELLINGTON DE SOUSA FERREIRA</t>
  </si>
  <si>
    <t>YOUSSEF BAASSOU</t>
  </si>
  <si>
    <t>YUSUFEFE SOZUBEK</t>
  </si>
  <si>
    <t>ZOUHIR BOUMAZA</t>
  </si>
  <si>
    <t>Kremlin Bicetre</t>
  </si>
  <si>
    <t>AMAR BESSA</t>
  </si>
  <si>
    <t>ANTHONY PARIS</t>
  </si>
  <si>
    <t>ARNAUD RAKOTOARISON</t>
  </si>
  <si>
    <t>ARTHUR TCHAPTCHET TCHATO</t>
  </si>
  <si>
    <t>AZDINE AIGOUN</t>
  </si>
  <si>
    <t>BOUBACAR SIBY</t>
  </si>
  <si>
    <t>CHARLES DOUALLA</t>
  </si>
  <si>
    <t>DANIEL MENDY</t>
  </si>
  <si>
    <t>GUSTAVO DE OLIVEIRA BARBOSA</t>
  </si>
  <si>
    <t>HEDI BOHLI</t>
  </si>
  <si>
    <t>ILYASS ASSAID</t>
  </si>
  <si>
    <t>JESUS VICENTE DOPICO UROZ</t>
  </si>
  <si>
    <t>LATE LAWSON</t>
  </si>
  <si>
    <t>LOUIS ALEXANDRE PEZERON</t>
  </si>
  <si>
    <t>MATHIEU HAMMAD</t>
  </si>
  <si>
    <t>RIAD KAROUNI</t>
  </si>
  <si>
    <t>THIAGO SOARES FERNANDES</t>
  </si>
  <si>
    <t>YASSINE CLEMENT</t>
  </si>
  <si>
    <t>YOUNES HENNI MANSOUR</t>
  </si>
  <si>
    <t>Lille Mouvaux Futsal</t>
  </si>
  <si>
    <t>ALAN BENSLAMA</t>
  </si>
  <si>
    <t>Algérie</t>
  </si>
  <si>
    <t>DARCIO LEMOS FORGIARINI</t>
  </si>
  <si>
    <t>DAVID GUSTAVO DOS SANTOS</t>
  </si>
  <si>
    <t>Azerbaijan</t>
  </si>
  <si>
    <t>EDGAR VARELA</t>
  </si>
  <si>
    <t>Portugal</t>
  </si>
  <si>
    <t>HAOUES BETGHA</t>
  </si>
  <si>
    <t>JEROME PASQUIER</t>
  </si>
  <si>
    <t>KEVIN RAMIREZ</t>
  </si>
  <si>
    <t>LAZAR MILOSAVLJEVIC</t>
  </si>
  <si>
    <t>Serbie</t>
  </si>
  <si>
    <t>LUCA SEGHI</t>
  </si>
  <si>
    <t>Belgique</t>
  </si>
  <si>
    <t>NAJID HAMIDI</t>
  </si>
  <si>
    <t>NEMANJA MOMCILOVIC</t>
  </si>
  <si>
    <t>PEDRO GABRIEL GOES</t>
  </si>
  <si>
    <t>PETTERSON GOMES MEDEIROS</t>
  </si>
  <si>
    <t>RAFAEL SANNA</t>
  </si>
  <si>
    <t>RAPHAEL ALLONIER</t>
  </si>
  <si>
    <t>RONNY ZAKEHI</t>
  </si>
  <si>
    <t>SOFIAN MEDJAHED</t>
  </si>
  <si>
    <t>SOUFIAN CHARRAOUI</t>
  </si>
  <si>
    <t>Pays Bas</t>
  </si>
  <si>
    <t>WALEX</t>
  </si>
  <si>
    <t>Marcouville</t>
  </si>
  <si>
    <t>ABDELILLAH ALLA</t>
  </si>
  <si>
    <t>ADMILSON BORGES GOMES</t>
  </si>
  <si>
    <t>ALEXANDER BOROWCZAK</t>
  </si>
  <si>
    <t>ALI SI CHAIB (SKANDER)</t>
  </si>
  <si>
    <t>BOBO NIAGATE</t>
  </si>
  <si>
    <t>DAVID GOMIS</t>
  </si>
  <si>
    <t>DJACKO NIAKATE</t>
  </si>
  <si>
    <t>ELYESSE DAOUHAZI</t>
  </si>
  <si>
    <t>GAUTHIER HIEU</t>
  </si>
  <si>
    <t>08/041995</t>
  </si>
  <si>
    <t>JOHAN REBELO</t>
  </si>
  <si>
    <t>JORDAN LABISSIERE</t>
  </si>
  <si>
    <t>JUAN ANDRES PEDROZO BERNAL</t>
  </si>
  <si>
    <t>KEVIN KUYA</t>
  </si>
  <si>
    <t>KHEMAIS OURIMI</t>
  </si>
  <si>
    <t>MEHDI BEN ABDELKADER</t>
  </si>
  <si>
    <t>MEHDI OURIMI</t>
  </si>
  <si>
    <t>MOUNIR GAGUI</t>
  </si>
  <si>
    <t>NAMA TRAORE</t>
  </si>
  <si>
    <t>OUSMANE COULIBALY</t>
  </si>
  <si>
    <t>Mali</t>
  </si>
  <si>
    <t>ROMARIS OBARGUI</t>
  </si>
  <si>
    <t>TAREK ZOUBIR</t>
  </si>
  <si>
    <t>WASSIM SI CHAIB</t>
  </si>
  <si>
    <t>YASSINE ZIYATI</t>
  </si>
  <si>
    <t>YOAQUIM BELAIB LEMOYNE</t>
  </si>
  <si>
    <t>Nantes Métropole Futsal</t>
  </si>
  <si>
    <t>ADAM BELIARD</t>
  </si>
  <si>
    <t>ALEJANDRO DANIEL VARSALONA</t>
  </si>
  <si>
    <t>Argentine</t>
  </si>
  <si>
    <t>ALISSON DAMASCENO MACIEL</t>
  </si>
  <si>
    <t>ANATOLE MELAINE</t>
  </si>
  <si>
    <t>BOUMEDYEN BENSABER</t>
  </si>
  <si>
    <t>BRYAN MELKI</t>
  </si>
  <si>
    <t>CHRISTOPHER BOISARD</t>
  </si>
  <si>
    <t>FERNANDO FORT BALFAGON</t>
  </si>
  <si>
    <t>FRANCIS LOKOKA KOLOMONI</t>
  </si>
  <si>
    <t>FRANCISCO JAVIER DIEZ BARRAGAN</t>
  </si>
  <si>
    <t>GORA DIOP</t>
  </si>
  <si>
    <t>GUIDO LEONARDO GRANDINETTI</t>
  </si>
  <si>
    <t>JULES PHELIPPEAU</t>
  </si>
  <si>
    <t>MOHAMED LAKJAH</t>
  </si>
  <si>
    <t>OUASSINI GUIRIO</t>
  </si>
  <si>
    <t>RENATO PAES LEME BAPTISTA J</t>
  </si>
  <si>
    <t>STEVE BENDALI</t>
  </si>
  <si>
    <t>Paris Acasa</t>
  </si>
  <si>
    <t>ABDELKADI MOHAMED BENDIFALLAH</t>
  </si>
  <si>
    <t>ABDOUL NDIAYE</t>
  </si>
  <si>
    <t>AXEL KIRTYS ZOROHUIDI</t>
  </si>
  <si>
    <t>AYMAN JEBBARI</t>
  </si>
  <si>
    <t>BILAL AZZOUZ</t>
  </si>
  <si>
    <t>BRENO DE ALMEIDA VAZ</t>
  </si>
  <si>
    <t>HOSAM ALLAM</t>
  </si>
  <si>
    <t>HOUMANY DEMBELE</t>
  </si>
  <si>
    <t>IBRAHIM ABDOU SAIDOU</t>
  </si>
  <si>
    <t>Comores</t>
  </si>
  <si>
    <t>ISMAILA DIARRA</t>
  </si>
  <si>
    <t>JOSE ALEX MAGNO</t>
  </si>
  <si>
    <t>JULIAN PARDO UMANA</t>
  </si>
  <si>
    <t>Colombie</t>
  </si>
  <si>
    <t>MAMADOU TOURE</t>
  </si>
  <si>
    <t>MOUSSA DIAGOURAGA</t>
  </si>
  <si>
    <t>SALAH GALMIM</t>
  </si>
  <si>
    <t>SAMBADIAM SISSOKO</t>
  </si>
  <si>
    <t>SAMIR ABOUDOU</t>
  </si>
  <si>
    <t>SIROU SOUMARE</t>
  </si>
  <si>
    <t>SOUMAILA SOUMARE</t>
  </si>
  <si>
    <t>SOUMAYLA DIALLO</t>
  </si>
  <si>
    <t>Sporting Paris</t>
  </si>
  <si>
    <t>ALAIN DOUANG</t>
  </si>
  <si>
    <t>ALEXANDRE TEIXEIRA</t>
  </si>
  <si>
    <t>AYOUB SAADAOUI</t>
  </si>
  <si>
    <t>BOLINHA (THIAGO TELES MARTINS)</t>
  </si>
  <si>
    <t>BOULAYE BA</t>
  </si>
  <si>
    <t>EDER SCHADE</t>
  </si>
  <si>
    <t>FINEO DE ARAUJO</t>
  </si>
  <si>
    <t>IBRAHIMA SOUARE</t>
  </si>
  <si>
    <t>JONATHAN CHAULET</t>
  </si>
  <si>
    <t>LAION DE FREITAS</t>
  </si>
  <si>
    <t>MAGANA NGALA</t>
  </si>
  <si>
    <t>MAHAMADOU KONATE</t>
  </si>
  <si>
    <t>SAMBA KEBE</t>
  </si>
  <si>
    <t>SID AHMED BELHAJ</t>
  </si>
  <si>
    <t>SOUMARE YOUBA</t>
  </si>
  <si>
    <t>STEVEN NDUKUTA</t>
  </si>
  <si>
    <t>Toulon Elite Futsal</t>
  </si>
  <si>
    <t>ALEX DA SILVA</t>
  </si>
  <si>
    <t>ALVARO MESA</t>
  </si>
  <si>
    <t>CELSO SANZ SENDON</t>
  </si>
  <si>
    <t>FEIJAO</t>
  </si>
  <si>
    <t>FLAVIEN COLLOMB</t>
  </si>
  <si>
    <t>MAAROUF KERROUMI</t>
  </si>
  <si>
    <t>NITO</t>
  </si>
  <si>
    <t>Cap Vert</t>
  </si>
  <si>
    <t>PUPA</t>
  </si>
  <si>
    <t>RAFAEL MORAIS GOMES TAVARES</t>
  </si>
  <si>
    <t>RAMI BARAKE</t>
  </si>
  <si>
    <t>RENAN CORREA DA COSTA</t>
  </si>
  <si>
    <t>RODRIGO DE OLIVEIRA VIANA</t>
  </si>
  <si>
    <t>RUBEN ORDOÑEZ MARTIN</t>
  </si>
  <si>
    <t>STEVE KOUKEZIAN</t>
  </si>
  <si>
    <t>Iran</t>
  </si>
  <si>
    <t>THIBAULT DUBOIS</t>
  </si>
  <si>
    <t>VINICIUS DE MENEZES</t>
  </si>
  <si>
    <t>YACINE BOUACHBA</t>
  </si>
  <si>
    <t>UJS Toulouse</t>
  </si>
  <si>
    <t>ANAS BOUITA</t>
  </si>
  <si>
    <t>AYOUB BOUITA</t>
  </si>
  <si>
    <t>AZIZ ADHAM</t>
  </si>
  <si>
    <t>AZIZ ARBAOUI</t>
  </si>
  <si>
    <t>AZZDINE TAKDJERAD</t>
  </si>
  <si>
    <t>LORENZO LOBATO DOS SANTOS</t>
  </si>
  <si>
    <t>MATHIEU FAUPIN</t>
  </si>
  <si>
    <t>MAZEN SAID SALIM</t>
  </si>
  <si>
    <t>MICKAEL DE SA ANDRADE</t>
  </si>
  <si>
    <t>PAVLOS WIEGELS</t>
  </si>
  <si>
    <t>Allemagne</t>
  </si>
  <si>
    <t>RICARDO ANTONIO BENTO GONCALVES</t>
  </si>
  <si>
    <t>SIMON LUC</t>
  </si>
  <si>
    <t>THEO REYNAUD</t>
  </si>
  <si>
    <t>THIBAUT GARROS</t>
  </si>
  <si>
    <t>THIERRY MAYRAND</t>
  </si>
  <si>
    <t>WILLY OLIVEIRA</t>
  </si>
  <si>
    <t>YOUNESS AHSSEN</t>
  </si>
  <si>
    <t>Identification</t>
  </si>
  <si>
    <t>Surnom</t>
  </si>
  <si>
    <t>rang</t>
  </si>
  <si>
    <t>Position</t>
  </si>
  <si>
    <t>Equipe</t>
  </si>
  <si>
    <t>J</t>
  </si>
  <si>
    <t>G</t>
  </si>
  <si>
    <t>N</t>
  </si>
  <si>
    <t>P</t>
  </si>
  <si>
    <t>GP</t>
  </si>
  <si>
    <t>GC</t>
  </si>
  <si>
    <t>G+/-</t>
  </si>
  <si>
    <t>Points</t>
  </si>
  <si>
    <t>Pénalités</t>
  </si>
  <si>
    <t>Historique du nombre de points par journées :</t>
  </si>
  <si>
    <t xml:space="preserve">Equipe </t>
  </si>
  <si>
    <t>Nombre points obtenus par journées</t>
  </si>
  <si>
    <t>Journée</t>
  </si>
  <si>
    <t>Equipe à Domicile</t>
  </si>
  <si>
    <t>Equipe à l'extérieur</t>
  </si>
  <si>
    <t>GB</t>
  </si>
  <si>
    <t>vide</t>
  </si>
  <si>
    <t>Acces Asnieres Futsal</t>
  </si>
  <si>
    <t>MOHSEN BELHIHI</t>
  </si>
  <si>
    <t>BUENO GASTON</t>
  </si>
  <si>
    <t>IZAVAN OLIVEIRA</t>
  </si>
  <si>
    <t>JOAO VITOR BELO MARQUES</t>
  </si>
  <si>
    <t>PEDRO FLORES MANZANEDA</t>
  </si>
  <si>
    <t>VALENTIN POTEL</t>
  </si>
  <si>
    <t>VICTOR VIEIRA MARINHO</t>
  </si>
  <si>
    <t>ALEXIS VETTIER</t>
  </si>
  <si>
    <t>ALVARO CASTILLO ALFARO</t>
  </si>
  <si>
    <t>CHRISY BOUOUAI</t>
  </si>
  <si>
    <t>JEFFERSON TOPEIRA</t>
  </si>
  <si>
    <t>KEMIL CESAR</t>
  </si>
  <si>
    <t>MALIK ABDALLAH</t>
  </si>
  <si>
    <t>QUENTIN BAUDOUR</t>
  </si>
  <si>
    <t>RODRIGO SPERENDIO DOS SANTOS</t>
  </si>
  <si>
    <t>SOUADROUDINE AHAMADA</t>
  </si>
  <si>
    <t>ADRIEN BATTAGLIA</t>
  </si>
  <si>
    <t>CELIM BOUDEBOUZ</t>
  </si>
  <si>
    <t>CHERIF BOUDELIOU</t>
  </si>
  <si>
    <t>??</t>
  </si>
  <si>
    <t>FELIPE ROBERTO LINHARES</t>
  </si>
  <si>
    <t>FOUAD BOUABDALLAH</t>
  </si>
  <si>
    <t>GIAN CARLO SAMMUT</t>
  </si>
  <si>
    <t>Malte</t>
  </si>
  <si>
    <t>JONATHAN DE OLIVEIRA</t>
  </si>
  <si>
    <t>KELSON FRANCISCO</t>
  </si>
  <si>
    <t>NEJM EDDINE FELLAH</t>
  </si>
  <si>
    <t>PARVIZ RAKHMATOV</t>
  </si>
  <si>
    <t>Tajikistan</t>
  </si>
  <si>
    <t>SOUAREBA KIRASSY</t>
  </si>
  <si>
    <t>THIAGO KUBIK</t>
  </si>
  <si>
    <t>Herrouville Futsal</t>
  </si>
  <si>
    <t>CARLOS OLIVEIRA DO NASCIMEN</t>
  </si>
  <si>
    <t>FABIEN LEMARCHAND</t>
  </si>
  <si>
    <t>OUTMANE BENSALAH</t>
  </si>
  <si>
    <t>YOUSSEF LE MKACHER</t>
  </si>
  <si>
    <t>ANDRE FANTECELE</t>
  </si>
  <si>
    <t>EDUARDO ALANO FARIAS</t>
  </si>
  <si>
    <t>FUMACA (RODRIGO SILVA)</t>
  </si>
  <si>
    <t>Géorgie</t>
  </si>
  <si>
    <t>AXEL FORTINEAU</t>
  </si>
  <si>
    <t>MOSAAB SARGHINI</t>
  </si>
  <si>
    <t>RAPHAEL GEBELLIN</t>
  </si>
  <si>
    <t>SOUFYANE EL HAFYANI</t>
  </si>
  <si>
    <t>SOULIEMANE OUADI</t>
  </si>
  <si>
    <t>THIAGO SOUZA</t>
  </si>
  <si>
    <t>VALENTIN ABRANTES</t>
  </si>
  <si>
    <t>IBRAHIM HALLAK</t>
  </si>
  <si>
    <t>MARCELO DOS REIS</t>
  </si>
  <si>
    <t>NICOLAS HENRIQUE ZAFFE MOREIRA</t>
  </si>
  <si>
    <t>OMAR HALLAK</t>
  </si>
  <si>
    <t>WALID KACEMI</t>
  </si>
  <si>
    <t>?</t>
  </si>
  <si>
    <t>YURY BAFAU</t>
  </si>
  <si>
    <t>ZAKARIA LAMSAIAH</t>
  </si>
  <si>
    <t>Ballon =</t>
  </si>
  <si>
    <t>But</t>
  </si>
  <si>
    <t xml:space="preserve"> </t>
  </si>
  <si>
    <t>Ballon perdu</t>
  </si>
  <si>
    <t>Relance GB</t>
  </si>
  <si>
    <t>Dribble</t>
  </si>
  <si>
    <t>bleu</t>
  </si>
  <si>
    <t>Equipe1</t>
  </si>
  <si>
    <t>Equipe2</t>
  </si>
  <si>
    <t>Equipe1_Joueur1</t>
  </si>
  <si>
    <t>Equipe2_Joueur1</t>
  </si>
  <si>
    <t>Equipe1_Joueur2</t>
  </si>
  <si>
    <t>Equipe2_Joueur2</t>
  </si>
  <si>
    <t>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</si>
</sst>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.0_-;\-* #,##0.0_-;_-* &quot;-&quot;??_-;_-@_-"/>
    <numFmt numFmtId="165" formatCode="[$-F400]h:mm:ss\ AM/PM"/>
  </numFmts>
  <fonts count="3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FF"/>
      <name val="Calibri"/>
      <family val="2"/>
      <scheme val="minor"/>
    </font>
    <font>
      <sz val="11"/>
      <color rgb="FF0C3153"/>
      <name val="Arial"/>
      <family val="2"/>
    </font>
    <font>
      <sz val="10"/>
      <color rgb="FF333333"/>
      <name val="Roboto"/>
    </font>
    <font>
      <sz val="11"/>
      <color rgb="FF000000"/>
      <name val="Arial"/>
      <family val="2"/>
    </font>
    <font>
      <sz val="11"/>
      <color rgb="FFFF9900"/>
      <name val="Calibri"/>
      <family val="2"/>
      <scheme val="minor"/>
    </font>
    <font>
      <sz val="11"/>
      <color rgb="FFFCD904"/>
      <name val="Calibri"/>
      <family val="2"/>
      <scheme val="minor"/>
    </font>
    <font>
      <sz val="11"/>
      <name val="Calibri"/>
      <family val="2"/>
      <scheme val="minor"/>
    </font>
    <font>
      <sz val="11"/>
      <color rgb="FF6666FF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rgb="FF000099"/>
      <name val="Calibri"/>
      <family val="2"/>
      <scheme val="minor"/>
    </font>
    <font>
      <sz val="11"/>
      <color rgb="FF0099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8"/>
      <name val="Calibri"/>
      <family val="2"/>
      <scheme val="minor"/>
    </font>
    <font>
      <sz val="11"/>
      <color rgb="FF777777"/>
      <name val="Calibri"/>
      <family val="2"/>
      <scheme val="minor"/>
    </font>
    <font>
      <sz val="11"/>
      <color rgb="FF33CCFF"/>
      <name val="Calibri"/>
      <family val="2"/>
      <scheme val="minor"/>
    </font>
    <font>
      <sz val="11"/>
      <color rgb="FF111827"/>
      <name val="Ubuntu Mono"/>
      <family val="3"/>
    </font>
    <font>
      <sz val="12"/>
      <color rgb="FF374151"/>
      <name val="Segoe UI"/>
      <family val="2"/>
    </font>
    <font>
      <sz val="11"/>
      <color rgb="FFFF0000"/>
      <name val="Calibri"/>
      <family val="2"/>
    </font>
    <font>
      <sz val="11"/>
      <color rgb="FF000000"/>
      <name val="Calibri"/>
      <family val="2"/>
      <scheme val="minor"/>
    </font>
    <font>
      <sz val="16"/>
      <name val="Calibri"/>
      <family val="2"/>
      <scheme val="minor"/>
    </font>
    <font>
      <sz val="11"/>
      <color rgb="FFFF00FF"/>
      <name val="Calibri"/>
      <family val="2"/>
    </font>
    <font>
      <sz val="11"/>
      <color rgb="FF008000"/>
      <name val="Calibri"/>
      <family val="2"/>
    </font>
    <font>
      <sz val="11"/>
      <color rgb="FF008080"/>
      <name val="Calibri"/>
      <family val="2"/>
    </font>
    <font>
      <sz val="18"/>
      <color rgb="FF000000"/>
      <name val="Calibri"/>
      <family val="2"/>
    </font>
    <font>
      <sz val="11"/>
      <color rgb="FFFF6600"/>
      <name val="Calibri"/>
      <family val="2"/>
    </font>
    <font>
      <sz val="11"/>
      <color rgb="FF800080"/>
      <name val="Calibri"/>
      <family val="2"/>
    </font>
    <font>
      <sz val="11"/>
      <color rgb="FF800000"/>
      <name val="Calibri"/>
      <family val="2"/>
    </font>
    <font>
      <sz val="10"/>
      <color rgb="FF000000"/>
      <name val="Calibri"/>
      <family val="2"/>
    </font>
    <font>
      <sz val="11"/>
      <name val="Ubuntu Mono"/>
      <family val="3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00FF"/>
        <bgColor indexed="64"/>
      </patternFill>
    </fill>
  </fills>
  <borders count="27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rgb="FFFF0000"/>
      </left>
      <right style="medium">
        <color theme="1"/>
      </right>
      <top style="thin">
        <color rgb="FFFF0000"/>
      </top>
      <bottom style="thin">
        <color auto="1"/>
      </bottom>
      <diagonal/>
    </border>
    <border>
      <left style="medium">
        <color theme="1"/>
      </left>
      <right style="thin">
        <color rgb="FF0000FF"/>
      </right>
      <top style="thin">
        <color rgb="FF0000FF"/>
      </top>
      <bottom style="thin">
        <color auto="1"/>
      </bottom>
      <diagonal/>
    </border>
    <border>
      <left style="thin">
        <color rgb="FFFF0000"/>
      </left>
      <right style="medium">
        <color theme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rgb="FF0000FF"/>
      </right>
      <top style="thin">
        <color auto="1"/>
      </top>
      <bottom style="thin">
        <color auto="1"/>
      </bottom>
      <diagonal/>
    </border>
    <border>
      <left style="thin">
        <color rgb="FFFF0000"/>
      </left>
      <right style="medium">
        <color theme="1"/>
      </right>
      <top style="thin">
        <color auto="1"/>
      </top>
      <bottom style="thin">
        <color rgb="FFFF0000"/>
      </bottom>
      <diagonal/>
    </border>
    <border>
      <left style="medium">
        <color theme="1"/>
      </left>
      <right style="thin">
        <color rgb="FF0000FF"/>
      </right>
      <top style="thin">
        <color auto="1"/>
      </top>
      <bottom style="thin">
        <color rgb="FF0000FF"/>
      </bottom>
      <diagonal/>
    </border>
    <border>
      <left style="medium">
        <color rgb="FFFFFF00"/>
      </left>
      <right style="medium">
        <color rgb="FFFFFF00"/>
      </right>
      <top style="medium">
        <color rgb="FFFFFF00"/>
      </top>
      <bottom style="medium">
        <color rgb="FFFFFF00"/>
      </bottom>
      <diagonal/>
    </border>
  </borders>
  <cellStyleXfs count="2">
    <xf numFmtId="0" fontId="0" fillId="0" borderId="0"/>
    <xf numFmtId="43" fontId="16" fillId="0" borderId="0" applyFont="0" applyFill="0" applyBorder="0" applyAlignment="0" applyProtection="0"/>
  </cellStyleXfs>
  <cellXfs count="87">
    <xf numFmtId="0" fontId="0" fillId="0" borderId="0" xfId="0"/>
    <xf numFmtId="19" fontId="0" fillId="0" borderId="0" xfId="0" applyNumberFormat="1"/>
    <xf numFmtId="22" fontId="0" fillId="0" borderId="0" xfId="0" applyNumberFormat="1"/>
    <xf numFmtId="21" fontId="0" fillId="0" borderId="0" xfId="0" applyNumberFormat="1"/>
    <xf numFmtId="0" fontId="2" fillId="3" borderId="1" xfId="0" applyFont="1" applyFill="1" applyBorder="1"/>
    <xf numFmtId="0" fontId="2" fillId="3" borderId="2" xfId="0" applyFont="1" applyFill="1" applyBorder="1"/>
    <xf numFmtId="0" fontId="3" fillId="0" borderId="3" xfId="0" applyFont="1" applyBorder="1"/>
    <xf numFmtId="0" fontId="4" fillId="0" borderId="3" xfId="0" applyFont="1" applyBorder="1" applyAlignment="1">
      <alignment vertical="center"/>
    </xf>
    <xf numFmtId="1" fontId="6" fillId="0" borderId="0" xfId="0" applyNumberFormat="1" applyFont="1"/>
    <xf numFmtId="0" fontId="4" fillId="0" borderId="3" xfId="0" applyFont="1" applyBorder="1"/>
    <xf numFmtId="0" fontId="4" fillId="0" borderId="0" xfId="0" applyFont="1" applyAlignment="1">
      <alignment vertical="center"/>
    </xf>
    <xf numFmtId="0" fontId="7" fillId="0" borderId="3" xfId="0" applyFont="1" applyBorder="1"/>
    <xf numFmtId="0" fontId="0" fillId="2" borderId="0" xfId="0" applyFill="1"/>
    <xf numFmtId="0" fontId="8" fillId="0" borderId="3" xfId="0" applyFont="1" applyBorder="1"/>
    <xf numFmtId="0" fontId="4" fillId="0" borderId="0" xfId="0" applyFont="1"/>
    <xf numFmtId="0" fontId="9" fillId="0" borderId="3" xfId="0" applyFont="1" applyBorder="1"/>
    <xf numFmtId="14" fontId="5" fillId="0" borderId="3" xfId="0" applyNumberFormat="1" applyFont="1" applyBorder="1"/>
    <xf numFmtId="0" fontId="10" fillId="0" borderId="3" xfId="0" applyFont="1" applyBorder="1"/>
    <xf numFmtId="0" fontId="11" fillId="0" borderId="3" xfId="0" applyFont="1" applyBorder="1"/>
    <xf numFmtId="0" fontId="0" fillId="0" borderId="3" xfId="0" applyBorder="1"/>
    <xf numFmtId="0" fontId="12" fillId="0" borderId="3" xfId="0" applyFont="1" applyBorder="1"/>
    <xf numFmtId="0" fontId="13" fillId="0" borderId="3" xfId="0" applyFont="1" applyBorder="1"/>
    <xf numFmtId="0" fontId="1" fillId="0" borderId="3" xfId="0" applyFont="1" applyBorder="1"/>
    <xf numFmtId="0" fontId="14" fillId="0" borderId="3" xfId="0" applyFont="1" applyBorder="1"/>
    <xf numFmtId="0" fontId="2" fillId="3" borderId="3" xfId="0" applyFont="1" applyFill="1" applyBorder="1"/>
    <xf numFmtId="0" fontId="0" fillId="0" borderId="0" xfId="0" applyAlignment="1">
      <alignment horizontal="center"/>
    </xf>
    <xf numFmtId="0" fontId="0" fillId="0" borderId="4" xfId="0" applyBorder="1"/>
    <xf numFmtId="164" fontId="0" fillId="4" borderId="0" xfId="1" applyNumberFormat="1" applyFont="1" applyFill="1"/>
    <xf numFmtId="0" fontId="14" fillId="0" borderId="4" xfId="0" applyFont="1" applyBorder="1"/>
    <xf numFmtId="0" fontId="0" fillId="0" borderId="4" xfId="0" applyBorder="1" applyAlignment="1">
      <alignment horizontal="center"/>
    </xf>
    <xf numFmtId="0" fontId="9" fillId="0" borderId="4" xfId="0" applyFont="1" applyBorder="1"/>
    <xf numFmtId="0" fontId="17" fillId="0" borderId="4" xfId="0" applyFont="1" applyBorder="1"/>
    <xf numFmtId="0" fontId="3" fillId="0" borderId="4" xfId="0" applyFont="1" applyBorder="1"/>
    <xf numFmtId="0" fontId="7" fillId="0" borderId="4" xfId="0" applyFont="1" applyBorder="1"/>
    <xf numFmtId="0" fontId="18" fillId="0" borderId="4" xfId="0" applyFont="1" applyBorder="1"/>
    <xf numFmtId="0" fontId="1" fillId="0" borderId="4" xfId="0" applyFont="1" applyBorder="1"/>
    <xf numFmtId="0" fontId="19" fillId="0" borderId="4" xfId="0" applyFont="1" applyBorder="1"/>
    <xf numFmtId="0" fontId="20" fillId="0" borderId="4" xfId="0" applyFont="1" applyBorder="1"/>
    <xf numFmtId="164" fontId="0" fillId="4" borderId="4" xfId="1" applyNumberFormat="1" applyFont="1" applyFill="1" applyBorder="1"/>
    <xf numFmtId="0" fontId="0" fillId="5" borderId="0" xfId="0" applyFill="1"/>
    <xf numFmtId="0" fontId="0" fillId="6" borderId="0" xfId="0" applyFill="1"/>
    <xf numFmtId="1" fontId="2" fillId="3" borderId="2" xfId="0" applyNumberFormat="1" applyFont="1" applyFill="1" applyBorder="1"/>
    <xf numFmtId="0" fontId="22" fillId="0" borderId="3" xfId="0" applyFont="1" applyBorder="1"/>
    <xf numFmtId="14" fontId="5" fillId="0" borderId="3" xfId="0" applyNumberFormat="1" applyFont="1" applyBorder="1" applyAlignment="1">
      <alignment horizontal="right"/>
    </xf>
    <xf numFmtId="0" fontId="0" fillId="0" borderId="3" xfId="0" applyBorder="1" applyAlignment="1">
      <alignment horizontal="right"/>
    </xf>
    <xf numFmtId="0" fontId="23" fillId="0" borderId="3" xfId="0" applyFont="1" applyBorder="1"/>
    <xf numFmtId="0" fontId="5" fillId="0" borderId="3" xfId="0" applyFont="1" applyBorder="1"/>
    <xf numFmtId="1" fontId="0" fillId="0" borderId="0" xfId="0" applyNumberFormat="1"/>
    <xf numFmtId="165" fontId="0" fillId="0" borderId="0" xfId="0" applyNumberFormat="1"/>
    <xf numFmtId="0" fontId="24" fillId="0" borderId="0" xfId="0" applyFont="1"/>
    <xf numFmtId="0" fontId="25" fillId="0" borderId="0" xfId="0" applyFont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0" xfId="0" applyAlignment="1">
      <alignment wrapText="1"/>
    </xf>
    <xf numFmtId="0" fontId="0" fillId="8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46" fontId="0" fillId="0" borderId="0" xfId="0" applyNumberFormat="1"/>
    <xf numFmtId="21" fontId="9" fillId="10" borderId="0" xfId="0" applyNumberFormat="1" applyFont="1" applyFill="1"/>
    <xf numFmtId="165" fontId="9" fillId="10" borderId="0" xfId="0" applyNumberFormat="1" applyFont="1" applyFill="1"/>
    <xf numFmtId="0" fontId="0" fillId="0" borderId="20" xfId="0" applyBorder="1"/>
    <xf numFmtId="0" fontId="0" fillId="0" borderId="22" xfId="0" applyBorder="1"/>
    <xf numFmtId="0" fontId="0" fillId="0" borderId="24" xfId="0" applyBorder="1"/>
    <xf numFmtId="0" fontId="0" fillId="0" borderId="0" xfId="0" applyAlignment="1">
      <alignment horizontal="right"/>
    </xf>
    <xf numFmtId="0" fontId="27" fillId="11" borderId="0" xfId="0" applyFont="1" applyFill="1"/>
    <xf numFmtId="0" fontId="0" fillId="0" borderId="21" xfId="0" applyBorder="1"/>
    <xf numFmtId="0" fontId="0" fillId="0" borderId="23" xfId="0" applyBorder="1"/>
    <xf numFmtId="0" fontId="0" fillId="0" borderId="25" xfId="0" applyBorder="1"/>
    <xf numFmtId="21" fontId="37" fillId="10" borderId="0" xfId="0" applyNumberFormat="1" applyFont="1" applyFill="1"/>
    <xf numFmtId="21" fontId="9" fillId="0" borderId="0" xfId="0" applyNumberFormat="1" applyFont="1"/>
    <xf numFmtId="165" fontId="9" fillId="0" borderId="0" xfId="0" applyNumberFormat="1" applyFont="1"/>
    <xf numFmtId="0" fontId="0" fillId="0" borderId="26" xfId="0" applyBorder="1"/>
    <xf numFmtId="0" fontId="28" fillId="0" borderId="15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8" fillId="0" borderId="12" xfId="0" applyFont="1" applyBorder="1" applyAlignment="1">
      <alignment horizontal="center" vertical="center"/>
    </xf>
    <xf numFmtId="0" fontId="28" fillId="0" borderId="16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1" xfId="0" applyFont="1" applyBorder="1" applyAlignment="1">
      <alignment horizontal="center" vertical="center"/>
    </xf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colors>
    <mruColors>
      <color rgb="FF0000FF"/>
      <color rgb="FFFF9933"/>
      <color rgb="FFFF6699"/>
      <color rgb="FF990000"/>
      <color rgb="FFCC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19050</xdr:rowOff>
    </xdr:from>
    <xdr:to>
      <xdr:col>16</xdr:col>
      <xdr:colOff>374100</xdr:colOff>
      <xdr:row>20</xdr:row>
      <xdr:rowOff>133050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8100" y="19050"/>
          <a:ext cx="12528000" cy="3924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2400" b="1" u="sng" baseline="0"/>
            <a:t>Outil de collecte de données statistiques pour l’analyse du jeu d'un match de Futsal</a:t>
          </a:r>
        </a:p>
        <a:p>
          <a:pPr algn="l"/>
          <a:endParaRPr lang="fr-FR" sz="1400" b="0" u="none" baseline="0"/>
        </a:p>
        <a:p>
          <a:pPr algn="l"/>
          <a:r>
            <a:rPr lang="fr-FR" sz="1400" b="0" u="none" baseline="0"/>
            <a:t>1) Remplir le nom de l'équipe à domicile dans la cellule B3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4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2) Remplir le nom de l'équipe à l'extérieur dans la cellule C3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4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3) Remplir les cellules B11 à B22 par les noms des joueurs de l'équipe évoluant à domicile présents sur la feuille de match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4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4) Remplir les cellules C11 à C22 par les noms des joueurs de l'équipe évoluant à l'extérieur présents sur la feuille de match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400" b="0" u="non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4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Quand c'est fait, cliquer sur le bouton (Démarrer) pour commencer à analyser le match.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4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Utilisez les touches 'O' et 'P' de votre clavier pour indiquer plus rapidement l'équipe en possession du ballon.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4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'O'=Ballon équipe DOM 		'P'=Ballon équipe EXT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400" b="0" u="non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400" b="0" u="non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400" b="0" u="non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400" b="0" u="non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400" b="0" u="non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4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A la fin de votre analyse, cliquer sur le bouton 'mode codage' puis Extraction (en bas à droite) pour extraire les données de votre match.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fr-FR" sz="1400" b="0" u="none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0</xdr:colOff>
          <xdr:row>0</xdr:row>
          <xdr:rowOff>66675</xdr:rowOff>
        </xdr:from>
        <xdr:to>
          <xdr:col>20</xdr:col>
          <xdr:colOff>228600</xdr:colOff>
          <xdr:row>2</xdr:row>
          <xdr:rowOff>38100</xdr:rowOff>
        </xdr:to>
        <xdr:sp macro="" textlink="">
          <xdr:nvSpPr>
            <xdr:cNvPr id="1033" name="Button 9" descr="Ballon roug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Ballon équipe DOM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9525</xdr:colOff>
          <xdr:row>2</xdr:row>
          <xdr:rowOff>76200</xdr:rowOff>
        </xdr:from>
        <xdr:to>
          <xdr:col>20</xdr:col>
          <xdr:colOff>238125</xdr:colOff>
          <xdr:row>4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Ballon équipe 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85725</xdr:colOff>
          <xdr:row>3</xdr:row>
          <xdr:rowOff>152400</xdr:rowOff>
        </xdr:from>
        <xdr:to>
          <xdr:col>6</xdr:col>
          <xdr:colOff>323850</xdr:colOff>
          <xdr:row>6</xdr:row>
          <xdr:rowOff>47625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3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8080"/>
                  </a:solidFill>
                  <a:latin typeface="Calibri"/>
                  <a:cs typeface="Calibri"/>
                </a:rPr>
                <a:t>Changements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22</xdr:row>
          <xdr:rowOff>85725</xdr:rowOff>
        </xdr:from>
        <xdr:to>
          <xdr:col>1</xdr:col>
          <xdr:colOff>771525</xdr:colOff>
          <xdr:row>24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3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8080"/>
                  </a:solidFill>
                  <a:latin typeface="Calibri"/>
                  <a:cs typeface="Calibri"/>
                </a:rPr>
                <a:t>Paramétrer "Résultats"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9</xdr:row>
          <xdr:rowOff>190500</xdr:rowOff>
        </xdr:from>
        <xdr:to>
          <xdr:col>12</xdr:col>
          <xdr:colOff>114300</xdr:colOff>
          <xdr:row>11</xdr:row>
          <xdr:rowOff>142875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3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Attaque placée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7</xdr:row>
          <xdr:rowOff>180975</xdr:rowOff>
        </xdr:from>
        <xdr:to>
          <xdr:col>12</xdr:col>
          <xdr:colOff>114300</xdr:colOff>
          <xdr:row>9</xdr:row>
          <xdr:rowOff>152400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3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Transition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11</xdr:row>
          <xdr:rowOff>180975</xdr:rowOff>
        </xdr:from>
        <xdr:to>
          <xdr:col>12</xdr:col>
          <xdr:colOff>123825</xdr:colOff>
          <xdr:row>13</xdr:row>
          <xdr:rowOff>133350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3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CPA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15</xdr:row>
          <xdr:rowOff>142875</xdr:rowOff>
        </xdr:from>
        <xdr:to>
          <xdr:col>12</xdr:col>
          <xdr:colOff>114300</xdr:colOff>
          <xdr:row>17</xdr:row>
          <xdr:rowOff>114300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3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PowerPlay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628650</xdr:colOff>
          <xdr:row>21</xdr:row>
          <xdr:rowOff>104775</xdr:rowOff>
        </xdr:from>
        <xdr:to>
          <xdr:col>12</xdr:col>
          <xdr:colOff>114300</xdr:colOff>
          <xdr:row>23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3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4c3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17</xdr:row>
          <xdr:rowOff>133350</xdr:rowOff>
        </xdr:from>
        <xdr:to>
          <xdr:col>12</xdr:col>
          <xdr:colOff>123825</xdr:colOff>
          <xdr:row>19</xdr:row>
          <xdr:rowOff>104775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3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Contre Pwr 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13</xdr:row>
          <xdr:rowOff>152400</xdr:rowOff>
        </xdr:from>
        <xdr:to>
          <xdr:col>12</xdr:col>
          <xdr:colOff>123825</xdr:colOff>
          <xdr:row>15</xdr:row>
          <xdr:rowOff>133350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3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Montée GB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638175</xdr:colOff>
          <xdr:row>19</xdr:row>
          <xdr:rowOff>114300</xdr:rowOff>
        </xdr:from>
        <xdr:to>
          <xdr:col>12</xdr:col>
          <xdr:colOff>114300</xdr:colOff>
          <xdr:row>21</xdr:row>
          <xdr:rowOff>85725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3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CSC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438150</xdr:colOff>
          <xdr:row>11</xdr:row>
          <xdr:rowOff>152400</xdr:rowOff>
        </xdr:from>
        <xdr:to>
          <xdr:col>8</xdr:col>
          <xdr:colOff>104775</xdr:colOff>
          <xdr:row>13</xdr:row>
          <xdr:rowOff>123825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3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Non cadré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438150</xdr:colOff>
          <xdr:row>9</xdr:row>
          <xdr:rowOff>180975</xdr:rowOff>
        </xdr:from>
        <xdr:to>
          <xdr:col>8</xdr:col>
          <xdr:colOff>104775</xdr:colOff>
          <xdr:row>11</xdr:row>
          <xdr:rowOff>133350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3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Cadré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438150</xdr:colOff>
          <xdr:row>7</xdr:row>
          <xdr:rowOff>180975</xdr:rowOff>
        </xdr:from>
        <xdr:to>
          <xdr:col>8</xdr:col>
          <xdr:colOff>104775</xdr:colOff>
          <xdr:row>9</xdr:row>
          <xdr:rowOff>152400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3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Contré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876300</xdr:colOff>
          <xdr:row>8</xdr:row>
          <xdr:rowOff>0</xdr:rowOff>
        </xdr:from>
        <xdr:to>
          <xdr:col>10</xdr:col>
          <xdr:colOff>152400</xdr:colOff>
          <xdr:row>9</xdr:row>
          <xdr:rowOff>161925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3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Dégagement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885825</xdr:colOff>
          <xdr:row>10</xdr:row>
          <xdr:rowOff>19050</xdr:rowOff>
        </xdr:from>
        <xdr:to>
          <xdr:col>10</xdr:col>
          <xdr:colOff>171450</xdr:colOff>
          <xdr:row>11</xdr:row>
          <xdr:rowOff>152400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3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Interception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885825</xdr:colOff>
          <xdr:row>11</xdr:row>
          <xdr:rowOff>180975</xdr:rowOff>
        </xdr:from>
        <xdr:to>
          <xdr:col>10</xdr:col>
          <xdr:colOff>171450</xdr:colOff>
          <xdr:row>13</xdr:row>
          <xdr:rowOff>133350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3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Dans les pieds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3</xdr:row>
          <xdr:rowOff>152400</xdr:rowOff>
        </xdr:from>
        <xdr:to>
          <xdr:col>13</xdr:col>
          <xdr:colOff>257175</xdr:colOff>
          <xdr:row>4</xdr:row>
          <xdr:rowOff>161925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3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419100</xdr:colOff>
          <xdr:row>17</xdr:row>
          <xdr:rowOff>152400</xdr:rowOff>
        </xdr:from>
        <xdr:to>
          <xdr:col>8</xdr:col>
          <xdr:colOff>85725</xdr:colOff>
          <xdr:row>19</xdr:row>
          <xdr:rowOff>133350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3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Faute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866775</xdr:colOff>
          <xdr:row>22</xdr:row>
          <xdr:rowOff>171450</xdr:rowOff>
        </xdr:from>
        <xdr:to>
          <xdr:col>10</xdr:col>
          <xdr:colOff>142875</xdr:colOff>
          <xdr:row>24</xdr:row>
          <xdr:rowOff>133350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3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Relance ratée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866775</xdr:colOff>
          <xdr:row>20</xdr:row>
          <xdr:rowOff>200025</xdr:rowOff>
        </xdr:from>
        <xdr:to>
          <xdr:col>10</xdr:col>
          <xdr:colOff>152400</xdr:colOff>
          <xdr:row>22</xdr:row>
          <xdr:rowOff>152400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3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800080"/>
                  </a:solidFill>
                  <a:latin typeface="Calibri"/>
                  <a:cs typeface="Calibri"/>
                </a:rPr>
                <a:t>Relance réussie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419100</xdr:colOff>
          <xdr:row>19</xdr:row>
          <xdr:rowOff>152400</xdr:rowOff>
        </xdr:from>
        <xdr:to>
          <xdr:col>8</xdr:col>
          <xdr:colOff>76200</xdr:colOff>
          <xdr:row>21</xdr:row>
          <xdr:rowOff>114300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3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Carton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876300</xdr:colOff>
          <xdr:row>16</xdr:row>
          <xdr:rowOff>152400</xdr:rowOff>
        </xdr:from>
        <xdr:to>
          <xdr:col>10</xdr:col>
          <xdr:colOff>152400</xdr:colOff>
          <xdr:row>18</xdr:row>
          <xdr:rowOff>123825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3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Réussi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885825</xdr:colOff>
          <xdr:row>14</xdr:row>
          <xdr:rowOff>190500</xdr:rowOff>
        </xdr:from>
        <xdr:to>
          <xdr:col>10</xdr:col>
          <xdr:colOff>171450</xdr:colOff>
          <xdr:row>16</xdr:row>
          <xdr:rowOff>142875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3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Raté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7</xdr:col>
      <xdr:colOff>6569</xdr:colOff>
      <xdr:row>6</xdr:row>
      <xdr:rowOff>168088</xdr:rowOff>
    </xdr:from>
    <xdr:to>
      <xdr:col>7</xdr:col>
      <xdr:colOff>880242</xdr:colOff>
      <xdr:row>7</xdr:row>
      <xdr:rowOff>174657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114977" y="1343526"/>
          <a:ext cx="873673" cy="207096"/>
        </a:xfrm>
        <a:prstGeom prst="rec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Tir</a:t>
          </a:r>
        </a:p>
      </xdr:txBody>
    </xdr:sp>
    <xdr:clientData/>
  </xdr:twoCellAnchor>
  <xdr:twoCellAnchor editAs="absolute">
    <xdr:from>
      <xdr:col>7</xdr:col>
      <xdr:colOff>11824</xdr:colOff>
      <xdr:row>16</xdr:row>
      <xdr:rowOff>166813</xdr:rowOff>
    </xdr:from>
    <xdr:to>
      <xdr:col>8</xdr:col>
      <xdr:colOff>232</xdr:colOff>
      <xdr:row>17</xdr:row>
      <xdr:rowOff>171702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117224" y="3330794"/>
          <a:ext cx="873673" cy="206594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solidFill>
                <a:sysClr val="windowText" lastClr="000000"/>
              </a:solidFill>
            </a:rPr>
            <a:t>Sanction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38100</xdr:colOff>
          <xdr:row>5</xdr:row>
          <xdr:rowOff>190500</xdr:rowOff>
        </xdr:from>
        <xdr:to>
          <xdr:col>19</xdr:col>
          <xdr:colOff>723900</xdr:colOff>
          <xdr:row>7</xdr:row>
          <xdr:rowOff>152400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3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Mode codage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85725</xdr:colOff>
          <xdr:row>22</xdr:row>
          <xdr:rowOff>190500</xdr:rowOff>
        </xdr:from>
        <xdr:to>
          <xdr:col>20</xdr:col>
          <xdr:colOff>276225</xdr:colOff>
          <xdr:row>24</xdr:row>
          <xdr:rowOff>104775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3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8080"/>
                  </a:solidFill>
                  <a:latin typeface="Calibri"/>
                  <a:cs typeface="Calibri"/>
                </a:rPr>
                <a:t>Extraction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514350</xdr:colOff>
          <xdr:row>0</xdr:row>
          <xdr:rowOff>123825</xdr:rowOff>
        </xdr:from>
        <xdr:to>
          <xdr:col>17</xdr:col>
          <xdr:colOff>352425</xdr:colOff>
          <xdr:row>2</xdr:row>
          <xdr:rowOff>9525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3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3</xdr:row>
          <xdr:rowOff>85725</xdr:rowOff>
        </xdr:from>
        <xdr:to>
          <xdr:col>10</xdr:col>
          <xdr:colOff>676275</xdr:colOff>
          <xdr:row>5</xdr:row>
          <xdr:rowOff>114300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3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A8446-484B-43B1-80F9-20DE84C3B7F3}">
  <sheetPr codeName="Feuil6"/>
  <dimension ref="A1:AH254"/>
  <sheetViews>
    <sheetView zoomScale="63" zoomScaleNormal="85" workbookViewId="0">
      <selection activeCell="C37" sqref="C37"/>
    </sheetView>
  </sheetViews>
  <sheetFormatPr baseColWidth="10" defaultColWidth="11.42578125" defaultRowHeight="15" x14ac:dyDescent="0.25"/>
  <cols>
    <col min="1" max="1" width="12" bestFit="1" customWidth="1"/>
    <col min="2" max="2" width="23.85546875" bestFit="1" customWidth="1"/>
    <col min="3" max="3" width="40.85546875" bestFit="1" customWidth="1"/>
    <col min="4" max="4" width="7.42578125" bestFit="1" customWidth="1"/>
    <col min="5" max="5" width="17.42578125" bestFit="1" customWidth="1"/>
    <col min="6" max="6" width="4.140625" style="47" bestFit="1" customWidth="1"/>
    <col min="7" max="7" width="11.42578125" bestFit="1" customWidth="1"/>
    <col min="8" max="8" width="2.28515625" bestFit="1" customWidth="1"/>
    <col min="9" max="11" width="4.42578125" bestFit="1" customWidth="1"/>
    <col min="12" max="20" width="2.7109375" bestFit="1" customWidth="1"/>
    <col min="21" max="33" width="3.7109375" bestFit="1" customWidth="1"/>
    <col min="34" max="34" width="25.42578125" bestFit="1" customWidth="1"/>
  </cols>
  <sheetData>
    <row r="1" spans="1:34" ht="15.75" thickBot="1" x14ac:dyDescent="0.3">
      <c r="A1" s="4" t="s">
        <v>275</v>
      </c>
      <c r="B1" s="4" t="s">
        <v>4</v>
      </c>
      <c r="C1" s="5" t="s">
        <v>5</v>
      </c>
      <c r="D1" s="5" t="s">
        <v>276</v>
      </c>
      <c r="E1" s="5" t="s">
        <v>6</v>
      </c>
      <c r="F1" s="41" t="s">
        <v>7</v>
      </c>
      <c r="G1" s="5" t="s">
        <v>8</v>
      </c>
      <c r="H1" s="5" t="s">
        <v>9</v>
      </c>
      <c r="I1" s="5" t="s">
        <v>10</v>
      </c>
      <c r="J1" s="5" t="s">
        <v>11</v>
      </c>
      <c r="K1" s="5" t="s">
        <v>12</v>
      </c>
      <c r="L1" s="5" t="s">
        <v>13</v>
      </c>
      <c r="M1" s="5" t="s">
        <v>14</v>
      </c>
      <c r="N1" s="5" t="s">
        <v>15</v>
      </c>
      <c r="O1" s="5" t="s">
        <v>16</v>
      </c>
      <c r="P1" s="5" t="s">
        <v>17</v>
      </c>
      <c r="Q1" s="5" t="s">
        <v>18</v>
      </c>
      <c r="R1" s="5" t="s">
        <v>19</v>
      </c>
      <c r="S1" s="5" t="s">
        <v>20</v>
      </c>
      <c r="T1" s="5" t="s">
        <v>21</v>
      </c>
      <c r="U1" s="5" t="s">
        <v>22</v>
      </c>
      <c r="V1" s="5" t="s">
        <v>23</v>
      </c>
      <c r="W1" s="5" t="s">
        <v>24</v>
      </c>
      <c r="X1" s="5" t="s">
        <v>25</v>
      </c>
      <c r="Y1" s="5" t="s">
        <v>26</v>
      </c>
      <c r="Z1" s="5" t="s">
        <v>27</v>
      </c>
      <c r="AA1" s="5" t="s">
        <v>28</v>
      </c>
      <c r="AB1" s="5" t="s">
        <v>29</v>
      </c>
      <c r="AC1" s="5" t="s">
        <v>30</v>
      </c>
      <c r="AD1" s="5" t="s">
        <v>31</v>
      </c>
      <c r="AE1" s="5" t="s">
        <v>32</v>
      </c>
      <c r="AF1" s="5" t="s">
        <v>33</v>
      </c>
      <c r="AG1" s="5" t="s">
        <v>34</v>
      </c>
      <c r="AH1" s="24" t="s">
        <v>35</v>
      </c>
    </row>
    <row r="2" spans="1:34" ht="15.75" thickBot="1" x14ac:dyDescent="0.3">
      <c r="B2" s="42" t="s">
        <v>297</v>
      </c>
      <c r="C2" s="9" t="s">
        <v>298</v>
      </c>
      <c r="D2" s="9"/>
      <c r="E2" s="43">
        <v>35292</v>
      </c>
      <c r="F2" s="8">
        <f t="shared" ref="F2:F66" ca="1" si="0">IFERROR(((TODAY()-E2)/365),"")</f>
        <v>27.769863013698629</v>
      </c>
      <c r="G2" s="7" t="s">
        <v>38</v>
      </c>
      <c r="H2" s="19"/>
      <c r="I2" s="19"/>
      <c r="J2" s="19"/>
      <c r="K2" s="19"/>
      <c r="AH2">
        <f>SUM(L2:AG2)</f>
        <v>0</v>
      </c>
    </row>
    <row r="3" spans="1:34" ht="15.75" thickBot="1" x14ac:dyDescent="0.3">
      <c r="B3" s="6" t="s">
        <v>36</v>
      </c>
      <c r="C3" s="7" t="s">
        <v>37</v>
      </c>
      <c r="D3" s="7"/>
      <c r="E3" s="43">
        <v>34605</v>
      </c>
      <c r="F3" s="8">
        <f t="shared" ca="1" si="0"/>
        <v>29.652054794520549</v>
      </c>
      <c r="G3" s="7" t="s">
        <v>38</v>
      </c>
      <c r="H3" s="19"/>
      <c r="I3" s="19"/>
      <c r="J3" s="19"/>
      <c r="K3" s="19"/>
      <c r="V3">
        <v>1</v>
      </c>
      <c r="W3">
        <v>1</v>
      </c>
      <c r="X3">
        <v>1</v>
      </c>
      <c r="Y3">
        <v>1</v>
      </c>
      <c r="Z3">
        <v>1</v>
      </c>
      <c r="AA3">
        <v>1</v>
      </c>
      <c r="AB3">
        <v>1</v>
      </c>
      <c r="AC3">
        <v>1</v>
      </c>
      <c r="AD3">
        <v>1</v>
      </c>
      <c r="AF3">
        <v>1</v>
      </c>
      <c r="AG3">
        <v>1</v>
      </c>
      <c r="AH3">
        <f t="shared" ref="AH3:AH67" si="1">SUM(L3:AG3)</f>
        <v>11</v>
      </c>
    </row>
    <row r="4" spans="1:34" ht="15.75" thickBot="1" x14ac:dyDescent="0.3">
      <c r="B4" s="6" t="s">
        <v>36</v>
      </c>
      <c r="C4" s="7" t="s">
        <v>39</v>
      </c>
      <c r="D4" s="7"/>
      <c r="E4" s="43">
        <v>36877</v>
      </c>
      <c r="F4" s="8">
        <f t="shared" ca="1" si="0"/>
        <v>23.427397260273974</v>
      </c>
      <c r="G4" s="7" t="s">
        <v>38</v>
      </c>
      <c r="H4" s="19"/>
      <c r="I4" s="19">
        <v>1</v>
      </c>
      <c r="J4" s="19"/>
      <c r="K4" s="19"/>
      <c r="M4">
        <v>1</v>
      </c>
      <c r="O4">
        <v>1</v>
      </c>
      <c r="S4">
        <v>1</v>
      </c>
      <c r="T4">
        <v>1</v>
      </c>
      <c r="V4">
        <v>1</v>
      </c>
      <c r="W4">
        <v>1</v>
      </c>
      <c r="X4">
        <v>1</v>
      </c>
      <c r="Y4">
        <v>1</v>
      </c>
      <c r="Z4">
        <v>1</v>
      </c>
      <c r="AA4">
        <v>1</v>
      </c>
      <c r="AB4">
        <v>1</v>
      </c>
      <c r="AC4">
        <v>1</v>
      </c>
      <c r="AD4">
        <v>1</v>
      </c>
      <c r="AG4">
        <v>1</v>
      </c>
      <c r="AH4">
        <f t="shared" si="1"/>
        <v>14</v>
      </c>
    </row>
    <row r="5" spans="1:34" ht="15.75" thickBot="1" x14ac:dyDescent="0.3">
      <c r="B5" s="6" t="s">
        <v>36</v>
      </c>
      <c r="C5" s="7" t="s">
        <v>40</v>
      </c>
      <c r="D5" s="7"/>
      <c r="E5" s="43">
        <v>32615</v>
      </c>
      <c r="F5" s="8">
        <f t="shared" ca="1" si="0"/>
        <v>35.104109589041094</v>
      </c>
      <c r="G5" s="7" t="s">
        <v>41</v>
      </c>
      <c r="H5" s="19"/>
      <c r="I5" s="19"/>
      <c r="J5" s="19"/>
      <c r="K5" s="19"/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T5">
        <v>1</v>
      </c>
      <c r="V5">
        <v>1</v>
      </c>
      <c r="Z5">
        <v>1</v>
      </c>
      <c r="AB5">
        <v>1</v>
      </c>
      <c r="AC5">
        <v>1</v>
      </c>
      <c r="AD5">
        <v>1</v>
      </c>
      <c r="AF5">
        <v>1</v>
      </c>
      <c r="AG5">
        <v>1</v>
      </c>
      <c r="AH5">
        <f t="shared" si="1"/>
        <v>15</v>
      </c>
    </row>
    <row r="6" spans="1:34" ht="15.75" thickBot="1" x14ac:dyDescent="0.3">
      <c r="B6" s="6" t="s">
        <v>36</v>
      </c>
      <c r="C6" s="7" t="s">
        <v>42</v>
      </c>
      <c r="D6" s="7"/>
      <c r="E6" s="43">
        <v>32854</v>
      </c>
      <c r="F6" s="8">
        <f t="shared" ca="1" si="0"/>
        <v>34.449315068493149</v>
      </c>
      <c r="G6" s="7" t="s">
        <v>38</v>
      </c>
      <c r="H6" s="19"/>
      <c r="I6" s="19"/>
      <c r="J6" s="19"/>
      <c r="K6" s="19"/>
      <c r="Q6">
        <v>1</v>
      </c>
      <c r="S6">
        <v>1</v>
      </c>
      <c r="X6">
        <v>1</v>
      </c>
      <c r="Y6">
        <v>1</v>
      </c>
      <c r="AD6">
        <v>1</v>
      </c>
      <c r="AG6">
        <v>1</v>
      </c>
      <c r="AH6">
        <f t="shared" si="1"/>
        <v>6</v>
      </c>
    </row>
    <row r="7" spans="1:34" ht="15.75" thickBot="1" x14ac:dyDescent="0.3">
      <c r="B7" s="6" t="s">
        <v>36</v>
      </c>
      <c r="C7" s="7" t="s">
        <v>43</v>
      </c>
      <c r="D7" s="7"/>
      <c r="E7" s="43">
        <v>35727</v>
      </c>
      <c r="F7" s="8">
        <f t="shared" ca="1" si="0"/>
        <v>26.578082191780823</v>
      </c>
      <c r="G7" s="7" t="s">
        <v>38</v>
      </c>
      <c r="H7" s="19"/>
      <c r="I7" s="19"/>
      <c r="J7" s="19"/>
      <c r="K7" s="19"/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T7">
        <v>1</v>
      </c>
      <c r="V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F7">
        <v>1</v>
      </c>
      <c r="AH7">
        <f t="shared" si="1"/>
        <v>16</v>
      </c>
    </row>
    <row r="8" spans="1:34" ht="15.75" thickBot="1" x14ac:dyDescent="0.3">
      <c r="B8" s="6" t="s">
        <v>36</v>
      </c>
      <c r="C8" s="7" t="s">
        <v>299</v>
      </c>
      <c r="D8" s="7"/>
      <c r="E8" s="43">
        <v>31677</v>
      </c>
      <c r="F8" s="8">
        <f t="shared" ca="1" si="0"/>
        <v>37.673972602739724</v>
      </c>
      <c r="G8" s="7" t="s">
        <v>180</v>
      </c>
      <c r="H8" s="19"/>
      <c r="I8" s="19"/>
      <c r="J8" s="19"/>
      <c r="K8" s="19"/>
      <c r="AH8">
        <f t="shared" si="1"/>
        <v>0</v>
      </c>
    </row>
    <row r="9" spans="1:34" ht="15.75" thickBot="1" x14ac:dyDescent="0.3">
      <c r="B9" s="6" t="s">
        <v>36</v>
      </c>
      <c r="C9" s="7" t="s">
        <v>44</v>
      </c>
      <c r="D9" s="7"/>
      <c r="E9" s="43">
        <v>31359</v>
      </c>
      <c r="F9" s="8">
        <f t="shared" ca="1" si="0"/>
        <v>38.545205479452058</v>
      </c>
      <c r="G9" s="7" t="s">
        <v>41</v>
      </c>
      <c r="H9" s="19"/>
      <c r="I9" s="19"/>
      <c r="J9" s="19"/>
      <c r="K9" s="19"/>
      <c r="L9">
        <v>1</v>
      </c>
      <c r="M9">
        <v>1</v>
      </c>
      <c r="N9">
        <v>1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W9">
        <v>1</v>
      </c>
      <c r="X9">
        <v>1</v>
      </c>
      <c r="Y9">
        <v>1</v>
      </c>
      <c r="Z9">
        <v>1</v>
      </c>
      <c r="AA9">
        <v>1</v>
      </c>
      <c r="AB9">
        <v>1</v>
      </c>
      <c r="AC9">
        <v>1</v>
      </c>
      <c r="AD9">
        <v>1</v>
      </c>
      <c r="AF9">
        <v>1</v>
      </c>
      <c r="AG9">
        <v>1</v>
      </c>
      <c r="AH9">
        <f t="shared" si="1"/>
        <v>19</v>
      </c>
    </row>
    <row r="10" spans="1:34" ht="15.75" thickBot="1" x14ac:dyDescent="0.3">
      <c r="B10" s="6" t="s">
        <v>36</v>
      </c>
      <c r="C10" s="9" t="s">
        <v>45</v>
      </c>
      <c r="D10" s="9"/>
      <c r="E10" s="43">
        <v>31597</v>
      </c>
      <c r="F10" s="8">
        <f t="shared" ca="1" si="0"/>
        <v>37.893150684931506</v>
      </c>
      <c r="G10" s="7" t="s">
        <v>46</v>
      </c>
      <c r="H10" s="44"/>
      <c r="I10" s="44"/>
      <c r="J10" s="19"/>
      <c r="K10" s="19"/>
      <c r="L10">
        <v>1</v>
      </c>
      <c r="N10">
        <v>1</v>
      </c>
      <c r="O10">
        <v>1</v>
      </c>
      <c r="P10">
        <v>1</v>
      </c>
      <c r="Q10">
        <v>1</v>
      </c>
      <c r="R10">
        <v>1</v>
      </c>
      <c r="S10">
        <v>1</v>
      </c>
      <c r="T10">
        <v>1</v>
      </c>
      <c r="V10">
        <v>1</v>
      </c>
      <c r="W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F10">
        <v>1</v>
      </c>
      <c r="AG10">
        <v>1</v>
      </c>
      <c r="AH10">
        <f t="shared" si="1"/>
        <v>18</v>
      </c>
    </row>
    <row r="11" spans="1:34" ht="15.75" thickBot="1" x14ac:dyDescent="0.3">
      <c r="B11" s="6" t="s">
        <v>36</v>
      </c>
      <c r="C11" s="9" t="s">
        <v>47</v>
      </c>
      <c r="D11" s="9"/>
      <c r="E11" s="43">
        <v>33655</v>
      </c>
      <c r="F11" s="8">
        <f t="shared" ca="1" si="0"/>
        <v>32.254794520547946</v>
      </c>
      <c r="G11" s="7" t="s">
        <v>48</v>
      </c>
      <c r="H11" s="44">
        <v>1</v>
      </c>
      <c r="I11" s="44"/>
      <c r="J11" s="19"/>
      <c r="K11" s="19"/>
      <c r="L11">
        <v>1</v>
      </c>
      <c r="M11">
        <v>1</v>
      </c>
      <c r="N11">
        <v>1</v>
      </c>
      <c r="P11">
        <v>1</v>
      </c>
      <c r="AH11">
        <f t="shared" si="1"/>
        <v>4</v>
      </c>
    </row>
    <row r="12" spans="1:34" ht="15.75" thickBot="1" x14ac:dyDescent="0.3">
      <c r="B12" s="6" t="s">
        <v>36</v>
      </c>
      <c r="C12" s="9" t="s">
        <v>49</v>
      </c>
      <c r="D12" s="9"/>
      <c r="E12" s="43">
        <v>33981</v>
      </c>
      <c r="F12" s="8">
        <f t="shared" ca="1" si="0"/>
        <v>31.361643835616437</v>
      </c>
      <c r="G12" s="7" t="s">
        <v>50</v>
      </c>
      <c r="H12" s="19">
        <v>1</v>
      </c>
      <c r="I12" s="19"/>
      <c r="J12" s="19"/>
      <c r="K12" s="19"/>
      <c r="W12">
        <v>1</v>
      </c>
      <c r="X12">
        <v>1</v>
      </c>
      <c r="Y12">
        <v>1</v>
      </c>
      <c r="Z12">
        <v>1</v>
      </c>
      <c r="AA12">
        <v>1</v>
      </c>
      <c r="AC12">
        <v>1</v>
      </c>
      <c r="AH12">
        <f t="shared" si="1"/>
        <v>6</v>
      </c>
    </row>
    <row r="13" spans="1:34" ht="15.75" thickBot="1" x14ac:dyDescent="0.3">
      <c r="B13" s="6" t="s">
        <v>36</v>
      </c>
      <c r="C13" s="7" t="s">
        <v>300</v>
      </c>
      <c r="D13" s="7"/>
      <c r="E13" s="43">
        <v>30578</v>
      </c>
      <c r="F13" s="8">
        <f t="shared" ca="1" si="0"/>
        <v>40.684931506849317</v>
      </c>
      <c r="G13" s="7" t="s">
        <v>41</v>
      </c>
      <c r="H13" s="19"/>
      <c r="I13" s="19"/>
      <c r="J13" s="19"/>
      <c r="K13" s="19"/>
      <c r="AH13">
        <f t="shared" si="1"/>
        <v>0</v>
      </c>
    </row>
    <row r="14" spans="1:34" ht="15.75" thickBot="1" x14ac:dyDescent="0.3">
      <c r="B14" s="6" t="s">
        <v>36</v>
      </c>
      <c r="C14" s="9" t="s">
        <v>301</v>
      </c>
      <c r="D14" s="9"/>
      <c r="E14" s="43">
        <v>36274</v>
      </c>
      <c r="F14" s="8">
        <f t="shared" ca="1" si="0"/>
        <v>25.079452054794519</v>
      </c>
      <c r="G14" s="9" t="s">
        <v>131</v>
      </c>
      <c r="H14" s="19"/>
      <c r="I14" s="19"/>
      <c r="J14" s="44">
        <v>1</v>
      </c>
      <c r="K14" s="19"/>
      <c r="AH14">
        <f t="shared" si="1"/>
        <v>0</v>
      </c>
    </row>
    <row r="15" spans="1:34" ht="15.75" thickBot="1" x14ac:dyDescent="0.3">
      <c r="B15" s="6" t="s">
        <v>36</v>
      </c>
      <c r="C15" s="9" t="s">
        <v>51</v>
      </c>
      <c r="D15" s="9"/>
      <c r="E15" s="43">
        <v>36867</v>
      </c>
      <c r="F15" s="8">
        <f t="shared" ca="1" si="0"/>
        <v>23.454794520547946</v>
      </c>
      <c r="G15" s="7" t="s">
        <v>52</v>
      </c>
      <c r="H15" s="19"/>
      <c r="I15" s="19"/>
      <c r="J15" s="19"/>
      <c r="K15" s="19"/>
      <c r="N15">
        <v>1</v>
      </c>
      <c r="Q15">
        <v>1</v>
      </c>
      <c r="R15">
        <v>1</v>
      </c>
      <c r="T15">
        <v>1</v>
      </c>
      <c r="AH15">
        <f t="shared" si="1"/>
        <v>4</v>
      </c>
    </row>
    <row r="16" spans="1:34" ht="15.75" thickBot="1" x14ac:dyDescent="0.3">
      <c r="B16" s="6" t="s">
        <v>36</v>
      </c>
      <c r="C16" s="7" t="s">
        <v>53</v>
      </c>
      <c r="D16" s="7"/>
      <c r="E16" s="43">
        <v>38698</v>
      </c>
      <c r="F16" s="8">
        <f t="shared" ca="1" si="0"/>
        <v>18.438356164383563</v>
      </c>
      <c r="G16" s="7" t="s">
        <v>38</v>
      </c>
      <c r="H16" s="19"/>
      <c r="I16" s="19"/>
      <c r="J16" s="19"/>
      <c r="K16" s="19">
        <v>1</v>
      </c>
      <c r="L16">
        <v>1</v>
      </c>
      <c r="N16">
        <v>1</v>
      </c>
      <c r="O16">
        <v>1</v>
      </c>
      <c r="P16">
        <v>1</v>
      </c>
      <c r="AH16">
        <f t="shared" si="1"/>
        <v>4</v>
      </c>
    </row>
    <row r="17" spans="2:34" ht="15.75" thickBot="1" x14ac:dyDescent="0.3">
      <c r="B17" s="6" t="s">
        <v>36</v>
      </c>
      <c r="C17" s="7" t="s">
        <v>54</v>
      </c>
      <c r="D17" s="7"/>
      <c r="E17" s="43">
        <v>36333</v>
      </c>
      <c r="F17" s="8">
        <f t="shared" ca="1" si="0"/>
        <v>24.917808219178081</v>
      </c>
      <c r="G17" s="7" t="s">
        <v>38</v>
      </c>
      <c r="H17" s="19"/>
      <c r="I17" s="19"/>
      <c r="J17" s="19"/>
      <c r="K17" s="19"/>
      <c r="L17">
        <v>1</v>
      </c>
      <c r="M17">
        <v>1</v>
      </c>
      <c r="N17">
        <v>1</v>
      </c>
      <c r="R17">
        <v>1</v>
      </c>
      <c r="S17">
        <v>1</v>
      </c>
      <c r="T17">
        <v>1</v>
      </c>
      <c r="V17">
        <v>1</v>
      </c>
      <c r="W17">
        <v>1</v>
      </c>
      <c r="X17">
        <v>1</v>
      </c>
      <c r="AF17">
        <v>1</v>
      </c>
      <c r="AH17">
        <f t="shared" si="1"/>
        <v>10</v>
      </c>
    </row>
    <row r="18" spans="2:34" ht="15.75" thickBot="1" x14ac:dyDescent="0.3">
      <c r="B18" s="6" t="s">
        <v>36</v>
      </c>
      <c r="C18" s="9" t="s">
        <v>55</v>
      </c>
      <c r="D18" s="9"/>
      <c r="E18" s="43">
        <v>35609</v>
      </c>
      <c r="F18" s="8">
        <f t="shared" ca="1" si="0"/>
        <v>26.901369863013699</v>
      </c>
      <c r="G18" s="7" t="s">
        <v>56</v>
      </c>
      <c r="H18" s="44"/>
      <c r="I18" s="44"/>
      <c r="J18" s="19"/>
      <c r="K18" s="19"/>
      <c r="L18">
        <v>1</v>
      </c>
      <c r="M18">
        <v>1</v>
      </c>
      <c r="O18">
        <v>1</v>
      </c>
      <c r="P18">
        <v>1</v>
      </c>
      <c r="Q18">
        <v>1</v>
      </c>
      <c r="R18">
        <v>1</v>
      </c>
      <c r="T18">
        <v>1</v>
      </c>
      <c r="V18">
        <v>1</v>
      </c>
      <c r="AH18">
        <f t="shared" si="1"/>
        <v>8</v>
      </c>
    </row>
    <row r="19" spans="2:34" ht="15.75" thickBot="1" x14ac:dyDescent="0.3">
      <c r="B19" s="6" t="s">
        <v>36</v>
      </c>
      <c r="C19" s="7" t="s">
        <v>57</v>
      </c>
      <c r="D19" s="7"/>
      <c r="E19" s="43">
        <v>35098</v>
      </c>
      <c r="F19" s="8">
        <f t="shared" ca="1" si="0"/>
        <v>28.301369863013697</v>
      </c>
      <c r="G19" s="7" t="s">
        <v>38</v>
      </c>
      <c r="H19" s="44">
        <v>1</v>
      </c>
      <c r="I19" s="44"/>
      <c r="J19" s="19"/>
      <c r="K19" s="19"/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T19">
        <v>1</v>
      </c>
      <c r="W19">
        <v>1</v>
      </c>
      <c r="X19">
        <v>1</v>
      </c>
      <c r="Z19">
        <v>1</v>
      </c>
      <c r="AH19">
        <f t="shared" si="1"/>
        <v>11</v>
      </c>
    </row>
    <row r="20" spans="2:34" ht="15.75" thickBot="1" x14ac:dyDescent="0.3">
      <c r="B20" s="6" t="s">
        <v>36</v>
      </c>
      <c r="C20" s="7" t="s">
        <v>302</v>
      </c>
      <c r="D20" s="7"/>
      <c r="E20" s="43">
        <v>36098</v>
      </c>
      <c r="F20" s="8">
        <f t="shared" ca="1" si="0"/>
        <v>25.561643835616437</v>
      </c>
      <c r="G20" s="7" t="s">
        <v>61</v>
      </c>
      <c r="H20" s="19"/>
      <c r="I20" s="19"/>
      <c r="J20" s="19"/>
      <c r="K20" s="19"/>
      <c r="AH20">
        <f t="shared" si="1"/>
        <v>0</v>
      </c>
    </row>
    <row r="21" spans="2:34" ht="15.75" thickBot="1" x14ac:dyDescent="0.3">
      <c r="B21" s="6" t="s">
        <v>36</v>
      </c>
      <c r="C21" s="9" t="s">
        <v>58</v>
      </c>
      <c r="D21" s="9"/>
      <c r="E21" s="43">
        <v>34216</v>
      </c>
      <c r="F21" s="8">
        <f t="shared" ca="1" si="0"/>
        <v>30.717808219178082</v>
      </c>
      <c r="G21" s="9" t="s">
        <v>38</v>
      </c>
      <c r="H21" s="19"/>
      <c r="I21" s="19"/>
      <c r="J21" s="19"/>
      <c r="K21" s="19"/>
      <c r="L21">
        <v>1</v>
      </c>
      <c r="M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F21">
        <v>1</v>
      </c>
      <c r="AH21">
        <f t="shared" si="1"/>
        <v>17</v>
      </c>
    </row>
    <row r="22" spans="2:34" ht="15.75" thickBot="1" x14ac:dyDescent="0.3">
      <c r="B22" s="6" t="s">
        <v>36</v>
      </c>
      <c r="C22" s="9" t="s">
        <v>59</v>
      </c>
      <c r="D22" s="9"/>
      <c r="E22" s="43">
        <v>34370</v>
      </c>
      <c r="F22" s="8">
        <f t="shared" ca="1" si="0"/>
        <v>30.295890410958904</v>
      </c>
      <c r="G22" s="7" t="s">
        <v>50</v>
      </c>
      <c r="H22" s="19">
        <v>1</v>
      </c>
      <c r="I22" s="19"/>
      <c r="J22" s="19"/>
      <c r="K22" s="19"/>
      <c r="W22">
        <v>1</v>
      </c>
      <c r="X22">
        <v>1</v>
      </c>
      <c r="Y22">
        <v>1</v>
      </c>
      <c r="AA22">
        <v>1</v>
      </c>
      <c r="AB22">
        <v>1</v>
      </c>
      <c r="AD22">
        <v>1</v>
      </c>
      <c r="AF22">
        <v>1</v>
      </c>
      <c r="AG22">
        <v>1</v>
      </c>
      <c r="AH22">
        <f t="shared" si="1"/>
        <v>8</v>
      </c>
    </row>
    <row r="23" spans="2:34" ht="15.75" thickBot="1" x14ac:dyDescent="0.3">
      <c r="B23" s="6" t="s">
        <v>36</v>
      </c>
      <c r="C23" s="7" t="s">
        <v>60</v>
      </c>
      <c r="D23" s="7"/>
      <c r="E23" s="43">
        <v>32428</v>
      </c>
      <c r="F23" s="8">
        <f t="shared" ca="1" si="0"/>
        <v>35.61643835616438</v>
      </c>
      <c r="G23" s="7" t="s">
        <v>61</v>
      </c>
      <c r="H23" s="19"/>
      <c r="I23" s="19"/>
      <c r="J23" s="19"/>
      <c r="K23" s="19"/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F23">
        <v>1</v>
      </c>
      <c r="AG23">
        <v>1</v>
      </c>
      <c r="AH23">
        <f t="shared" si="1"/>
        <v>20</v>
      </c>
    </row>
    <row r="24" spans="2:34" ht="15.75" thickBot="1" x14ac:dyDescent="0.3">
      <c r="B24" s="6" t="s">
        <v>36</v>
      </c>
      <c r="C24" s="10" t="s">
        <v>62</v>
      </c>
      <c r="D24" s="10"/>
      <c r="E24" s="43">
        <v>32843</v>
      </c>
      <c r="F24" s="8">
        <f t="shared" ca="1" si="0"/>
        <v>34.479452054794521</v>
      </c>
      <c r="G24" s="7" t="s">
        <v>38</v>
      </c>
      <c r="H24" s="19"/>
      <c r="I24" s="19"/>
      <c r="J24" s="19"/>
      <c r="K24" s="19"/>
      <c r="O24">
        <v>1</v>
      </c>
      <c r="P24">
        <v>1</v>
      </c>
      <c r="Q24">
        <v>1</v>
      </c>
      <c r="R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G24">
        <v>1</v>
      </c>
      <c r="AH24">
        <f t="shared" si="1"/>
        <v>11</v>
      </c>
    </row>
    <row r="25" spans="2:34" ht="15.75" thickBot="1" x14ac:dyDescent="0.3">
      <c r="B25" s="6" t="s">
        <v>36</v>
      </c>
      <c r="C25" s="7" t="s">
        <v>303</v>
      </c>
      <c r="D25" s="7"/>
      <c r="E25" s="43">
        <v>36308</v>
      </c>
      <c r="F25" s="8">
        <f t="shared" ca="1" si="0"/>
        <v>24.986301369863014</v>
      </c>
      <c r="G25" s="7" t="s">
        <v>38</v>
      </c>
      <c r="H25" s="19"/>
      <c r="I25" s="19"/>
      <c r="J25" s="44">
        <v>1</v>
      </c>
      <c r="K25" s="19"/>
      <c r="AH25">
        <f t="shared" si="1"/>
        <v>0</v>
      </c>
    </row>
    <row r="26" spans="2:34" ht="15.75" thickBot="1" x14ac:dyDescent="0.3">
      <c r="B26" s="6" t="s">
        <v>36</v>
      </c>
      <c r="C26" s="7" t="s">
        <v>304</v>
      </c>
      <c r="D26" s="7"/>
      <c r="E26" s="43">
        <v>32697</v>
      </c>
      <c r="F26" s="8">
        <f t="shared" ca="1" si="0"/>
        <v>34.87945205479452</v>
      </c>
      <c r="G26" s="7" t="s">
        <v>41</v>
      </c>
      <c r="H26" s="19"/>
      <c r="I26" s="19"/>
      <c r="J26" s="19"/>
      <c r="K26" s="19"/>
      <c r="AH26">
        <f t="shared" si="1"/>
        <v>0</v>
      </c>
    </row>
    <row r="27" spans="2:34" ht="15.75" thickBot="1" x14ac:dyDescent="0.3">
      <c r="B27" s="6" t="s">
        <v>36</v>
      </c>
      <c r="C27" s="7" t="s">
        <v>63</v>
      </c>
      <c r="D27" s="7"/>
      <c r="E27" s="43">
        <v>32239</v>
      </c>
      <c r="F27" s="8">
        <f t="shared" ca="1" si="0"/>
        <v>36.134246575342466</v>
      </c>
      <c r="G27" s="7" t="s">
        <v>64</v>
      </c>
      <c r="H27" s="19"/>
      <c r="I27" s="19"/>
      <c r="J27" s="19"/>
      <c r="K27" s="19"/>
      <c r="L27">
        <v>1</v>
      </c>
      <c r="M27">
        <v>1</v>
      </c>
      <c r="N27">
        <v>1</v>
      </c>
      <c r="O27">
        <v>1</v>
      </c>
      <c r="P27">
        <v>1</v>
      </c>
      <c r="Q27">
        <v>1</v>
      </c>
      <c r="R27">
        <v>1</v>
      </c>
      <c r="S27">
        <v>1</v>
      </c>
      <c r="V27">
        <v>1</v>
      </c>
      <c r="W27">
        <v>1</v>
      </c>
      <c r="X27">
        <v>1</v>
      </c>
      <c r="Z27">
        <v>1</v>
      </c>
      <c r="AB27">
        <v>1</v>
      </c>
      <c r="AC27">
        <v>1</v>
      </c>
      <c r="AD27">
        <v>1</v>
      </c>
      <c r="AF27">
        <v>1</v>
      </c>
      <c r="AG27">
        <v>1</v>
      </c>
      <c r="AH27">
        <f t="shared" si="1"/>
        <v>17</v>
      </c>
    </row>
    <row r="28" spans="2:34" ht="15.75" thickBot="1" x14ac:dyDescent="0.3">
      <c r="B28" s="11" t="s">
        <v>65</v>
      </c>
      <c r="C28" s="7" t="s">
        <v>66</v>
      </c>
      <c r="D28" s="7"/>
      <c r="E28" s="43">
        <v>33217</v>
      </c>
      <c r="F28" s="8">
        <f t="shared" ca="1" si="0"/>
        <v>33.454794520547942</v>
      </c>
      <c r="G28" s="7" t="s">
        <v>38</v>
      </c>
      <c r="H28" s="44">
        <v>1</v>
      </c>
      <c r="I28" s="44"/>
      <c r="J28" s="19"/>
      <c r="K28" s="19"/>
      <c r="L28">
        <v>1</v>
      </c>
      <c r="M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>
        <v>1</v>
      </c>
      <c r="AH28">
        <f t="shared" si="1"/>
        <v>20</v>
      </c>
    </row>
    <row r="29" spans="2:34" ht="15.75" thickBot="1" x14ac:dyDescent="0.3">
      <c r="B29" s="11" t="s">
        <v>65</v>
      </c>
      <c r="C29" s="7" t="s">
        <v>305</v>
      </c>
      <c r="D29" s="7"/>
      <c r="E29" s="43">
        <v>35411</v>
      </c>
      <c r="F29" s="8">
        <f t="shared" ca="1" si="0"/>
        <v>27.443835616438356</v>
      </c>
      <c r="G29" s="7" t="s">
        <v>38</v>
      </c>
      <c r="H29" s="19"/>
      <c r="I29" s="19"/>
      <c r="J29" s="19"/>
      <c r="K29" s="19"/>
      <c r="AH29">
        <f t="shared" si="1"/>
        <v>0</v>
      </c>
    </row>
    <row r="30" spans="2:34" ht="15.75" thickBot="1" x14ac:dyDescent="0.3">
      <c r="B30" s="11" t="s">
        <v>65</v>
      </c>
      <c r="C30" s="9" t="s">
        <v>306</v>
      </c>
      <c r="D30" s="9"/>
      <c r="E30" s="43">
        <v>35617</v>
      </c>
      <c r="F30" s="8">
        <f t="shared" ca="1" si="0"/>
        <v>26.87945205479452</v>
      </c>
      <c r="G30" s="9" t="s">
        <v>61</v>
      </c>
      <c r="H30" s="19"/>
      <c r="I30" s="19"/>
      <c r="J30" s="19"/>
      <c r="K30" s="19"/>
      <c r="AH30">
        <f t="shared" si="1"/>
        <v>0</v>
      </c>
    </row>
    <row r="31" spans="2:34" ht="15.75" thickBot="1" x14ac:dyDescent="0.3">
      <c r="B31" s="11" t="s">
        <v>65</v>
      </c>
      <c r="C31" s="9" t="s">
        <v>67</v>
      </c>
      <c r="D31" s="9"/>
      <c r="E31" s="43">
        <v>34024</v>
      </c>
      <c r="F31" s="8">
        <f t="shared" ca="1" si="0"/>
        <v>31.243835616438357</v>
      </c>
      <c r="G31" s="7" t="s">
        <v>64</v>
      </c>
      <c r="H31" s="44">
        <v>1</v>
      </c>
      <c r="I31" s="44"/>
      <c r="J31" s="19"/>
      <c r="K31" s="19"/>
      <c r="L31">
        <v>1</v>
      </c>
      <c r="M31">
        <v>1</v>
      </c>
      <c r="O31">
        <v>1</v>
      </c>
      <c r="P31">
        <v>1</v>
      </c>
      <c r="Q31">
        <v>1</v>
      </c>
      <c r="R31">
        <v>1</v>
      </c>
      <c r="S31">
        <v>1</v>
      </c>
      <c r="T31">
        <v>1</v>
      </c>
      <c r="V31">
        <v>1</v>
      </c>
      <c r="W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>
        <v>1</v>
      </c>
      <c r="AH31">
        <f t="shared" si="1"/>
        <v>19</v>
      </c>
    </row>
    <row r="32" spans="2:34" ht="15.75" thickBot="1" x14ac:dyDescent="0.3">
      <c r="B32" s="11" t="s">
        <v>65</v>
      </c>
      <c r="C32" s="7" t="s">
        <v>307</v>
      </c>
      <c r="D32" s="7"/>
      <c r="E32" s="43">
        <v>35363</v>
      </c>
      <c r="F32" s="8">
        <f t="shared" ca="1" si="0"/>
        <v>27.575342465753426</v>
      </c>
      <c r="G32" s="7" t="s">
        <v>38</v>
      </c>
      <c r="H32" s="19"/>
      <c r="I32" s="19"/>
      <c r="J32" s="19"/>
      <c r="K32" s="19"/>
      <c r="AH32">
        <f t="shared" si="1"/>
        <v>0</v>
      </c>
    </row>
    <row r="33" spans="2:34" ht="15.75" thickBot="1" x14ac:dyDescent="0.3">
      <c r="B33" s="11" t="s">
        <v>65</v>
      </c>
      <c r="C33" s="7" t="s">
        <v>68</v>
      </c>
      <c r="D33" s="7"/>
      <c r="E33" s="43">
        <v>34846</v>
      </c>
      <c r="F33" s="8">
        <f t="shared" ca="1" si="0"/>
        <v>28.991780821917807</v>
      </c>
      <c r="G33" s="7" t="s">
        <v>41</v>
      </c>
      <c r="H33" s="19"/>
      <c r="I33" s="19"/>
      <c r="J33" s="19"/>
      <c r="K33" s="19"/>
      <c r="L33">
        <v>1</v>
      </c>
      <c r="M33">
        <v>1</v>
      </c>
      <c r="O33">
        <v>1</v>
      </c>
      <c r="P33">
        <v>1</v>
      </c>
      <c r="Q33">
        <v>1</v>
      </c>
      <c r="R33">
        <v>1</v>
      </c>
      <c r="S33">
        <v>1</v>
      </c>
      <c r="T33">
        <v>1</v>
      </c>
      <c r="V33">
        <v>1</v>
      </c>
      <c r="W33">
        <v>1</v>
      </c>
      <c r="Y33">
        <v>1</v>
      </c>
      <c r="Z33">
        <v>1</v>
      </c>
      <c r="AA33">
        <v>1</v>
      </c>
      <c r="AB33">
        <v>1</v>
      </c>
      <c r="AC33">
        <v>1</v>
      </c>
      <c r="AD33">
        <v>1</v>
      </c>
      <c r="AE33">
        <v>1</v>
      </c>
      <c r="AF33">
        <v>1</v>
      </c>
      <c r="AG33">
        <v>1</v>
      </c>
      <c r="AH33">
        <f t="shared" si="1"/>
        <v>19</v>
      </c>
    </row>
    <row r="34" spans="2:34" ht="15.75" thickBot="1" x14ac:dyDescent="0.3">
      <c r="B34" s="11" t="s">
        <v>65</v>
      </c>
      <c r="C34" s="7" t="s">
        <v>69</v>
      </c>
      <c r="D34" s="7"/>
      <c r="E34" s="43">
        <v>37602</v>
      </c>
      <c r="F34" s="8">
        <f t="shared" ca="1" si="0"/>
        <v>21.44109589041096</v>
      </c>
      <c r="G34" s="7" t="s">
        <v>38</v>
      </c>
      <c r="H34" s="19"/>
      <c r="I34" s="19"/>
      <c r="J34" s="19"/>
      <c r="K34" s="19"/>
      <c r="R34">
        <v>1</v>
      </c>
      <c r="S34">
        <v>1</v>
      </c>
      <c r="T34">
        <v>1</v>
      </c>
      <c r="U34">
        <v>1</v>
      </c>
      <c r="Y34">
        <v>1</v>
      </c>
      <c r="Z34" s="12">
        <v>1</v>
      </c>
      <c r="AA34" s="12">
        <v>1</v>
      </c>
      <c r="AB34">
        <v>1</v>
      </c>
      <c r="AC34">
        <v>1</v>
      </c>
      <c r="AD34">
        <v>1</v>
      </c>
      <c r="AE34">
        <v>1</v>
      </c>
      <c r="AF34">
        <v>1</v>
      </c>
      <c r="AH34">
        <f t="shared" si="1"/>
        <v>12</v>
      </c>
    </row>
    <row r="35" spans="2:34" ht="15.75" thickBot="1" x14ac:dyDescent="0.3">
      <c r="B35" s="11" t="s">
        <v>65</v>
      </c>
      <c r="C35" s="10" t="s">
        <v>308</v>
      </c>
      <c r="D35" s="10"/>
      <c r="E35" s="43">
        <v>31881</v>
      </c>
      <c r="F35" s="8">
        <f t="shared" ca="1" si="0"/>
        <v>37.115068493150687</v>
      </c>
      <c r="G35" s="7" t="s">
        <v>41</v>
      </c>
      <c r="H35" s="19"/>
      <c r="I35" s="19"/>
      <c r="J35" s="19"/>
      <c r="K35" s="19"/>
      <c r="AH35">
        <f t="shared" si="1"/>
        <v>0</v>
      </c>
    </row>
    <row r="36" spans="2:34" ht="15.75" thickBot="1" x14ac:dyDescent="0.3">
      <c r="B36" s="11" t="s">
        <v>65</v>
      </c>
      <c r="C36" s="7" t="s">
        <v>70</v>
      </c>
      <c r="D36" s="7"/>
      <c r="E36" s="43">
        <v>37967</v>
      </c>
      <c r="F36" s="8">
        <f t="shared" ca="1" si="0"/>
        <v>20.44109589041096</v>
      </c>
      <c r="G36" s="7" t="s">
        <v>38</v>
      </c>
      <c r="H36" s="19"/>
      <c r="I36" s="19"/>
      <c r="J36" s="19">
        <v>1</v>
      </c>
      <c r="K36" s="19"/>
      <c r="L36">
        <v>1</v>
      </c>
      <c r="M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V36">
        <v>1</v>
      </c>
      <c r="W36">
        <v>1</v>
      </c>
      <c r="Z36" s="12">
        <v>1</v>
      </c>
      <c r="AA36" s="12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f t="shared" si="1"/>
        <v>19</v>
      </c>
    </row>
    <row r="37" spans="2:34" ht="15.75" thickBot="1" x14ac:dyDescent="0.3">
      <c r="B37" s="11" t="s">
        <v>65</v>
      </c>
      <c r="C37" s="7" t="s">
        <v>71</v>
      </c>
      <c r="D37" s="7"/>
      <c r="E37" s="43">
        <v>34895</v>
      </c>
      <c r="F37" s="8">
        <f t="shared" ca="1" si="0"/>
        <v>28.857534246575341</v>
      </c>
      <c r="G37" s="7" t="s">
        <v>41</v>
      </c>
      <c r="H37" s="19"/>
      <c r="I37" s="19"/>
      <c r="J37" s="19"/>
      <c r="K37" s="19"/>
      <c r="L37">
        <v>1</v>
      </c>
      <c r="M37">
        <v>1</v>
      </c>
      <c r="O37">
        <v>1</v>
      </c>
      <c r="P37">
        <v>1</v>
      </c>
      <c r="Q37">
        <v>1</v>
      </c>
      <c r="R37">
        <v>1</v>
      </c>
      <c r="S37">
        <v>1</v>
      </c>
      <c r="T37">
        <v>1</v>
      </c>
      <c r="U37">
        <v>1</v>
      </c>
      <c r="V37">
        <v>1</v>
      </c>
      <c r="W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F37">
        <v>1</v>
      </c>
      <c r="AG37">
        <v>1</v>
      </c>
      <c r="AH37">
        <f t="shared" si="1"/>
        <v>19</v>
      </c>
    </row>
    <row r="38" spans="2:34" ht="15.75" thickBot="1" x14ac:dyDescent="0.3">
      <c r="B38" s="11" t="s">
        <v>65</v>
      </c>
      <c r="C38" s="7" t="s">
        <v>309</v>
      </c>
      <c r="D38" s="7"/>
      <c r="E38" s="43"/>
      <c r="F38" s="8"/>
      <c r="G38" s="7" t="s">
        <v>38</v>
      </c>
      <c r="H38" s="19"/>
      <c r="I38" s="19"/>
      <c r="J38" s="19"/>
      <c r="K38" s="19"/>
      <c r="AG38">
        <v>1</v>
      </c>
      <c r="AH38">
        <f t="shared" si="1"/>
        <v>1</v>
      </c>
    </row>
    <row r="39" spans="2:34" ht="15.75" thickBot="1" x14ac:dyDescent="0.3">
      <c r="B39" s="11" t="s">
        <v>65</v>
      </c>
      <c r="C39" s="7" t="s">
        <v>72</v>
      </c>
      <c r="D39" s="7"/>
      <c r="E39" s="43">
        <v>33374</v>
      </c>
      <c r="F39" s="8">
        <f t="shared" ca="1" si="0"/>
        <v>33.024657534246572</v>
      </c>
      <c r="G39" s="7" t="s">
        <v>64</v>
      </c>
      <c r="H39" s="19"/>
      <c r="I39" s="19"/>
      <c r="J39" s="19"/>
      <c r="K39" s="19"/>
      <c r="U39">
        <v>1</v>
      </c>
      <c r="AA39">
        <v>1</v>
      </c>
      <c r="AG39">
        <v>1</v>
      </c>
      <c r="AH39">
        <f t="shared" si="1"/>
        <v>3</v>
      </c>
    </row>
    <row r="40" spans="2:34" ht="15.75" thickBot="1" x14ac:dyDescent="0.3">
      <c r="B40" s="11" t="s">
        <v>65</v>
      </c>
      <c r="C40" s="7" t="s">
        <v>73</v>
      </c>
      <c r="D40" s="7"/>
      <c r="E40" s="43">
        <v>34104</v>
      </c>
      <c r="F40" s="8">
        <f t="shared" ca="1" si="0"/>
        <v>31.024657534246575</v>
      </c>
      <c r="G40" s="7" t="s">
        <v>38</v>
      </c>
      <c r="H40" s="44">
        <v>1</v>
      </c>
      <c r="I40" s="44"/>
      <c r="J40" s="19"/>
      <c r="K40" s="19"/>
      <c r="L40">
        <v>1</v>
      </c>
      <c r="M40">
        <v>1</v>
      </c>
      <c r="O40">
        <v>1</v>
      </c>
      <c r="P40">
        <v>1</v>
      </c>
      <c r="Q40">
        <v>1</v>
      </c>
      <c r="R40">
        <v>1</v>
      </c>
      <c r="S40">
        <v>1</v>
      </c>
      <c r="V40">
        <v>1</v>
      </c>
      <c r="W40">
        <v>1</v>
      </c>
      <c r="Y40">
        <v>1</v>
      </c>
      <c r="Z40">
        <v>1</v>
      </c>
      <c r="AA40">
        <v>1</v>
      </c>
      <c r="AB40">
        <v>1</v>
      </c>
      <c r="AC40">
        <v>1</v>
      </c>
      <c r="AE40">
        <v>1</v>
      </c>
      <c r="AF40">
        <v>1</v>
      </c>
      <c r="AH40">
        <f t="shared" si="1"/>
        <v>16</v>
      </c>
    </row>
    <row r="41" spans="2:34" ht="15.75" thickBot="1" x14ac:dyDescent="0.3">
      <c r="B41" s="11" t="s">
        <v>65</v>
      </c>
      <c r="C41" s="7" t="s">
        <v>310</v>
      </c>
      <c r="D41" s="7"/>
      <c r="E41" s="43">
        <v>36166</v>
      </c>
      <c r="F41" s="8">
        <f t="shared" ca="1" si="0"/>
        <v>25.375342465753423</v>
      </c>
      <c r="G41" s="7" t="s">
        <v>126</v>
      </c>
      <c r="H41" s="44">
        <v>1</v>
      </c>
      <c r="I41" s="44"/>
      <c r="J41" s="19"/>
      <c r="K41" s="19"/>
      <c r="AH41">
        <f t="shared" si="1"/>
        <v>0</v>
      </c>
    </row>
    <row r="42" spans="2:34" ht="15.75" thickBot="1" x14ac:dyDescent="0.3">
      <c r="B42" s="11" t="s">
        <v>65</v>
      </c>
      <c r="C42" s="7" t="s">
        <v>74</v>
      </c>
      <c r="D42" s="7"/>
      <c r="E42" s="43">
        <v>34500</v>
      </c>
      <c r="F42" s="8">
        <f t="shared" ca="1" si="0"/>
        <v>29.93972602739726</v>
      </c>
      <c r="G42" s="7" t="s">
        <v>75</v>
      </c>
      <c r="H42" s="19"/>
      <c r="I42" s="19"/>
      <c r="J42" s="19"/>
      <c r="K42" s="19"/>
      <c r="L42">
        <v>1</v>
      </c>
      <c r="O42">
        <v>1</v>
      </c>
      <c r="P42">
        <v>1</v>
      </c>
      <c r="T42">
        <v>1</v>
      </c>
      <c r="V42">
        <v>1</v>
      </c>
      <c r="Y42">
        <v>1</v>
      </c>
      <c r="AC42">
        <v>1</v>
      </c>
      <c r="AE42">
        <v>1</v>
      </c>
      <c r="AG42">
        <v>1</v>
      </c>
      <c r="AH42">
        <f t="shared" si="1"/>
        <v>9</v>
      </c>
    </row>
    <row r="43" spans="2:34" ht="15.75" thickBot="1" x14ac:dyDescent="0.3">
      <c r="B43" s="11" t="s">
        <v>65</v>
      </c>
      <c r="C43" s="7" t="s">
        <v>76</v>
      </c>
      <c r="D43" s="7"/>
      <c r="E43" s="43">
        <v>37967</v>
      </c>
      <c r="F43" s="8">
        <f t="shared" ca="1" si="0"/>
        <v>20.44109589041096</v>
      </c>
      <c r="G43" s="7" t="s">
        <v>38</v>
      </c>
      <c r="H43" s="19"/>
      <c r="I43" s="19"/>
      <c r="J43" s="19">
        <v>1</v>
      </c>
      <c r="K43" s="19"/>
      <c r="L43">
        <v>1</v>
      </c>
      <c r="M43">
        <v>1</v>
      </c>
      <c r="O43">
        <v>1</v>
      </c>
      <c r="P43">
        <v>1</v>
      </c>
      <c r="Q43">
        <v>1</v>
      </c>
      <c r="R43">
        <v>1</v>
      </c>
      <c r="S43">
        <v>1</v>
      </c>
      <c r="T43">
        <v>1</v>
      </c>
      <c r="U43">
        <v>1</v>
      </c>
      <c r="V43">
        <v>1</v>
      </c>
      <c r="W43">
        <v>1</v>
      </c>
      <c r="Y43">
        <v>1</v>
      </c>
      <c r="Z43" s="12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>
        <v>1</v>
      </c>
      <c r="AH43">
        <f t="shared" si="1"/>
        <v>20</v>
      </c>
    </row>
    <row r="44" spans="2:34" ht="15.75" thickBot="1" x14ac:dyDescent="0.3">
      <c r="B44" s="11" t="s">
        <v>65</v>
      </c>
      <c r="C44" s="7" t="s">
        <v>311</v>
      </c>
      <c r="D44" s="7"/>
      <c r="E44" s="43">
        <v>35796</v>
      </c>
      <c r="F44" s="8">
        <f t="shared" ca="1" si="0"/>
        <v>26.389041095890413</v>
      </c>
      <c r="G44" s="7" t="s">
        <v>38</v>
      </c>
      <c r="H44" s="19"/>
      <c r="I44" s="19"/>
      <c r="J44" s="19"/>
      <c r="K44" s="19"/>
      <c r="AH44">
        <f t="shared" si="1"/>
        <v>0</v>
      </c>
    </row>
    <row r="45" spans="2:34" ht="15.75" thickBot="1" x14ac:dyDescent="0.3">
      <c r="B45" s="11" t="s">
        <v>65</v>
      </c>
      <c r="C45" s="10" t="s">
        <v>312</v>
      </c>
      <c r="D45" s="10"/>
      <c r="E45" s="43">
        <v>33365</v>
      </c>
      <c r="F45" s="8">
        <f t="shared" ca="1" si="0"/>
        <v>33.049315068493151</v>
      </c>
      <c r="G45" s="7" t="s">
        <v>41</v>
      </c>
      <c r="H45" s="19"/>
      <c r="I45" s="19"/>
      <c r="J45" s="19"/>
      <c r="K45" s="19"/>
      <c r="AH45">
        <f t="shared" si="1"/>
        <v>0</v>
      </c>
    </row>
    <row r="46" spans="2:34" ht="15.75" thickBot="1" x14ac:dyDescent="0.3">
      <c r="B46" s="11" t="s">
        <v>65</v>
      </c>
      <c r="C46" s="7" t="s">
        <v>313</v>
      </c>
      <c r="D46" s="7"/>
      <c r="E46" s="43">
        <v>35941</v>
      </c>
      <c r="F46" s="8">
        <f t="shared" ca="1" si="0"/>
        <v>25.991780821917807</v>
      </c>
      <c r="G46" s="7" t="s">
        <v>38</v>
      </c>
      <c r="H46" s="19"/>
      <c r="I46" s="19"/>
      <c r="J46" s="19"/>
      <c r="K46" s="19"/>
      <c r="AH46">
        <f t="shared" si="1"/>
        <v>0</v>
      </c>
    </row>
    <row r="47" spans="2:34" ht="15.75" thickBot="1" x14ac:dyDescent="0.3">
      <c r="B47" s="11" t="s">
        <v>65</v>
      </c>
      <c r="C47" s="7" t="s">
        <v>77</v>
      </c>
      <c r="D47" s="7"/>
      <c r="E47" s="43">
        <v>33029</v>
      </c>
      <c r="F47" s="8">
        <f t="shared" ca="1" si="0"/>
        <v>33.969863013698628</v>
      </c>
      <c r="G47" s="7" t="s">
        <v>64</v>
      </c>
      <c r="H47" s="44">
        <v>1</v>
      </c>
      <c r="I47" s="44"/>
      <c r="J47" s="19"/>
      <c r="K47" s="19"/>
      <c r="L47">
        <v>1</v>
      </c>
      <c r="M47">
        <v>1</v>
      </c>
      <c r="O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Y47">
        <v>1</v>
      </c>
      <c r="Z47">
        <v>1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>
        <v>1</v>
      </c>
      <c r="AH47">
        <f t="shared" si="1"/>
        <v>20</v>
      </c>
    </row>
    <row r="48" spans="2:34" ht="15.75" thickBot="1" x14ac:dyDescent="0.3">
      <c r="B48" s="11" t="s">
        <v>65</v>
      </c>
      <c r="C48" s="7" t="s">
        <v>78</v>
      </c>
      <c r="D48" s="7"/>
      <c r="E48" s="43">
        <v>34787</v>
      </c>
      <c r="F48" s="8">
        <f t="shared" ca="1" si="0"/>
        <v>29.153424657534245</v>
      </c>
      <c r="G48" s="7" t="s">
        <v>38</v>
      </c>
      <c r="H48" s="44">
        <v>1</v>
      </c>
      <c r="I48" s="44"/>
      <c r="J48" s="19"/>
      <c r="K48" s="19"/>
      <c r="L48">
        <v>1</v>
      </c>
      <c r="M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U48">
        <v>1</v>
      </c>
      <c r="V48">
        <v>1</v>
      </c>
      <c r="W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>
        <v>1</v>
      </c>
      <c r="AH48">
        <f t="shared" si="1"/>
        <v>20</v>
      </c>
    </row>
    <row r="49" spans="2:34" ht="15.75" thickBot="1" x14ac:dyDescent="0.3">
      <c r="B49" s="11" t="s">
        <v>65</v>
      </c>
      <c r="C49" s="7" t="s">
        <v>79</v>
      </c>
      <c r="D49" s="7"/>
      <c r="E49" s="43">
        <v>34810</v>
      </c>
      <c r="F49" s="8">
        <f t="shared" ca="1" si="0"/>
        <v>29.090410958904108</v>
      </c>
      <c r="G49" s="7" t="s">
        <v>38</v>
      </c>
      <c r="H49" s="19"/>
      <c r="I49" s="19"/>
      <c r="J49" s="19"/>
      <c r="K49" s="19"/>
      <c r="L49">
        <v>1</v>
      </c>
      <c r="M49">
        <v>1</v>
      </c>
      <c r="O49">
        <v>1</v>
      </c>
      <c r="Q49">
        <v>1</v>
      </c>
      <c r="R49">
        <v>1</v>
      </c>
      <c r="S49">
        <v>1</v>
      </c>
      <c r="T49">
        <v>1</v>
      </c>
      <c r="U49">
        <v>1</v>
      </c>
      <c r="V49">
        <v>1</v>
      </c>
      <c r="W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f t="shared" si="1"/>
        <v>19</v>
      </c>
    </row>
    <row r="50" spans="2:34" ht="15.75" thickBot="1" x14ac:dyDescent="0.3">
      <c r="B50" s="13" t="s">
        <v>80</v>
      </c>
      <c r="C50" s="9" t="s">
        <v>81</v>
      </c>
      <c r="D50" s="9"/>
      <c r="E50" s="43">
        <v>35122</v>
      </c>
      <c r="F50" s="8">
        <f t="shared" ca="1" si="0"/>
        <v>28.235616438356164</v>
      </c>
      <c r="G50" s="7" t="s">
        <v>38</v>
      </c>
      <c r="H50" s="19"/>
      <c r="I50" s="19"/>
      <c r="J50" s="19"/>
      <c r="K50" s="19"/>
      <c r="O50">
        <v>1</v>
      </c>
      <c r="Q50">
        <v>1</v>
      </c>
      <c r="AH50">
        <f t="shared" si="1"/>
        <v>2</v>
      </c>
    </row>
    <row r="51" spans="2:34" ht="15.75" thickBot="1" x14ac:dyDescent="0.3">
      <c r="B51" s="13" t="s">
        <v>80</v>
      </c>
      <c r="C51" s="7" t="s">
        <v>314</v>
      </c>
      <c r="D51" s="7"/>
      <c r="E51" s="43">
        <v>34360</v>
      </c>
      <c r="F51" s="8">
        <f t="shared" ca="1" si="0"/>
        <v>30.323287671232876</v>
      </c>
      <c r="G51" s="7" t="s">
        <v>38</v>
      </c>
      <c r="H51" s="19"/>
      <c r="I51" s="19"/>
      <c r="J51" s="19"/>
      <c r="K51" s="19"/>
      <c r="AH51">
        <f t="shared" si="1"/>
        <v>0</v>
      </c>
    </row>
    <row r="52" spans="2:34" ht="15.75" thickBot="1" x14ac:dyDescent="0.3">
      <c r="B52" s="13" t="s">
        <v>80</v>
      </c>
      <c r="C52" s="9" t="s">
        <v>82</v>
      </c>
      <c r="D52" s="9"/>
      <c r="E52" s="43">
        <v>32289</v>
      </c>
      <c r="F52" s="8">
        <f t="shared" ca="1" si="0"/>
        <v>35.9972602739726</v>
      </c>
      <c r="G52" s="7" t="s">
        <v>38</v>
      </c>
      <c r="H52" s="19"/>
      <c r="I52" s="19"/>
      <c r="J52" s="19"/>
      <c r="K52" s="19"/>
      <c r="O52">
        <v>1</v>
      </c>
      <c r="AH52">
        <f t="shared" si="1"/>
        <v>1</v>
      </c>
    </row>
    <row r="53" spans="2:34" ht="15.75" thickBot="1" x14ac:dyDescent="0.3">
      <c r="B53" s="13" t="s">
        <v>80</v>
      </c>
      <c r="C53" s="14" t="s">
        <v>83</v>
      </c>
      <c r="D53" s="14"/>
      <c r="E53" s="43">
        <v>34036</v>
      </c>
      <c r="F53" s="8">
        <f t="shared" ca="1" si="0"/>
        <v>31.210958904109589</v>
      </c>
      <c r="G53" s="7" t="s">
        <v>38</v>
      </c>
      <c r="H53" s="19"/>
      <c r="I53" s="19"/>
      <c r="J53" s="19"/>
      <c r="K53" s="19"/>
      <c r="W53">
        <v>1</v>
      </c>
      <c r="X53">
        <v>1</v>
      </c>
      <c r="Y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>
        <v>1</v>
      </c>
      <c r="AH53">
        <f t="shared" si="1"/>
        <v>10</v>
      </c>
    </row>
    <row r="54" spans="2:34" ht="15.75" thickBot="1" x14ac:dyDescent="0.3">
      <c r="B54" s="13" t="s">
        <v>80</v>
      </c>
      <c r="C54" s="7" t="s">
        <v>315</v>
      </c>
      <c r="D54" s="7"/>
      <c r="E54" s="43">
        <v>31315</v>
      </c>
      <c r="F54" s="8">
        <f t="shared" ca="1" si="0"/>
        <v>38.665753424657531</v>
      </c>
      <c r="G54" s="7" t="s">
        <v>38</v>
      </c>
      <c r="AH54">
        <f t="shared" si="1"/>
        <v>0</v>
      </c>
    </row>
    <row r="55" spans="2:34" ht="15.75" thickBot="1" x14ac:dyDescent="0.3">
      <c r="B55" s="13" t="s">
        <v>80</v>
      </c>
      <c r="C55" s="7" t="s">
        <v>316</v>
      </c>
      <c r="D55" s="7"/>
      <c r="E55" s="43" t="s">
        <v>317</v>
      </c>
      <c r="F55" s="8" t="str">
        <f t="shared" ca="1" si="0"/>
        <v/>
      </c>
      <c r="G55" s="7" t="s">
        <v>38</v>
      </c>
      <c r="H55" s="44">
        <v>1</v>
      </c>
      <c r="I55" s="44"/>
      <c r="J55" s="19"/>
      <c r="K55" s="19"/>
      <c r="AH55">
        <f t="shared" si="1"/>
        <v>0</v>
      </c>
    </row>
    <row r="56" spans="2:34" ht="15.75" thickBot="1" x14ac:dyDescent="0.3">
      <c r="B56" s="13" t="s">
        <v>80</v>
      </c>
      <c r="C56" s="9" t="s">
        <v>84</v>
      </c>
      <c r="D56" s="9"/>
      <c r="E56" s="43">
        <v>37787</v>
      </c>
      <c r="F56" s="8">
        <f t="shared" ca="1" si="0"/>
        <v>20.934246575342467</v>
      </c>
      <c r="G56" s="7" t="s">
        <v>85</v>
      </c>
      <c r="H56" s="19"/>
      <c r="I56" s="19"/>
      <c r="J56" s="19">
        <v>1</v>
      </c>
      <c r="K56" s="19"/>
      <c r="L56">
        <v>1</v>
      </c>
      <c r="M56">
        <v>1</v>
      </c>
      <c r="N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f t="shared" si="1"/>
        <v>19</v>
      </c>
    </row>
    <row r="57" spans="2:34" ht="15.75" thickBot="1" x14ac:dyDescent="0.3">
      <c r="B57" s="13" t="s">
        <v>80</v>
      </c>
      <c r="C57" s="7" t="s">
        <v>86</v>
      </c>
      <c r="D57" s="7"/>
      <c r="E57" s="43">
        <v>29538</v>
      </c>
      <c r="F57" s="8">
        <f t="shared" ca="1" si="0"/>
        <v>43.534246575342465</v>
      </c>
      <c r="G57" s="7" t="s">
        <v>38</v>
      </c>
      <c r="H57" s="19"/>
      <c r="I57" s="19"/>
      <c r="J57" s="19"/>
      <c r="K57" s="19"/>
      <c r="L57">
        <v>1</v>
      </c>
      <c r="M57">
        <v>1</v>
      </c>
      <c r="N57">
        <v>1</v>
      </c>
      <c r="O57">
        <v>1</v>
      </c>
      <c r="Q57">
        <v>1</v>
      </c>
      <c r="R57">
        <v>1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AF57">
        <v>1</v>
      </c>
      <c r="AG57">
        <v>1</v>
      </c>
      <c r="AH57">
        <f t="shared" si="1"/>
        <v>14</v>
      </c>
    </row>
    <row r="58" spans="2:34" ht="15.75" thickBot="1" x14ac:dyDescent="0.3">
      <c r="B58" s="13" t="s">
        <v>80</v>
      </c>
      <c r="C58" s="10" t="s">
        <v>318</v>
      </c>
      <c r="D58" s="10"/>
      <c r="E58" s="43">
        <v>35503</v>
      </c>
      <c r="F58" s="8">
        <f t="shared" ca="1" si="0"/>
        <v>27.19178082191781</v>
      </c>
      <c r="G58" s="7" t="s">
        <v>41</v>
      </c>
      <c r="H58" s="19"/>
      <c r="I58" s="19"/>
      <c r="J58" s="19"/>
      <c r="K58" s="19"/>
      <c r="AH58">
        <f t="shared" si="1"/>
        <v>0</v>
      </c>
    </row>
    <row r="59" spans="2:34" ht="15.75" thickBot="1" x14ac:dyDescent="0.3">
      <c r="B59" s="13" t="s">
        <v>80</v>
      </c>
      <c r="C59" s="7" t="s">
        <v>319</v>
      </c>
      <c r="D59" s="7"/>
      <c r="E59" s="43">
        <v>32994</v>
      </c>
      <c r="F59" s="8">
        <f t="shared" ca="1" si="0"/>
        <v>34.065753424657537</v>
      </c>
      <c r="G59" s="7" t="s">
        <v>38</v>
      </c>
      <c r="H59" s="19"/>
      <c r="I59" s="19"/>
      <c r="J59" s="19"/>
      <c r="K59" s="19"/>
      <c r="AH59">
        <f t="shared" si="1"/>
        <v>0</v>
      </c>
    </row>
    <row r="60" spans="2:34" ht="15.75" thickBot="1" x14ac:dyDescent="0.3">
      <c r="B60" s="13" t="s">
        <v>80</v>
      </c>
      <c r="C60" s="14" t="s">
        <v>87</v>
      </c>
      <c r="D60" s="14"/>
      <c r="E60" s="43">
        <v>35094</v>
      </c>
      <c r="F60" s="8">
        <f t="shared" ca="1" si="0"/>
        <v>28.312328767123287</v>
      </c>
      <c r="G60" s="7" t="s">
        <v>41</v>
      </c>
      <c r="H60" s="19"/>
      <c r="I60" s="19"/>
      <c r="J60" s="19"/>
      <c r="K60" s="19"/>
      <c r="M60">
        <v>1</v>
      </c>
      <c r="N60">
        <v>1</v>
      </c>
      <c r="O60">
        <v>1</v>
      </c>
      <c r="Q60">
        <v>1</v>
      </c>
      <c r="S60">
        <v>1</v>
      </c>
      <c r="V60">
        <v>1</v>
      </c>
      <c r="W60">
        <v>1</v>
      </c>
      <c r="X60">
        <v>1</v>
      </c>
      <c r="Y60">
        <v>1</v>
      </c>
      <c r="AA60">
        <v>1</v>
      </c>
      <c r="AB60">
        <v>1</v>
      </c>
      <c r="AE60">
        <v>1</v>
      </c>
      <c r="AF60">
        <v>1</v>
      </c>
      <c r="AG60">
        <v>1</v>
      </c>
      <c r="AH60">
        <f t="shared" si="1"/>
        <v>14</v>
      </c>
    </row>
    <row r="61" spans="2:34" ht="15.75" thickBot="1" x14ac:dyDescent="0.3">
      <c r="B61" s="13" t="s">
        <v>80</v>
      </c>
      <c r="C61" s="7" t="s">
        <v>320</v>
      </c>
      <c r="D61" s="7"/>
      <c r="E61" s="43">
        <v>34826</v>
      </c>
      <c r="F61" s="8">
        <f t="shared" ca="1" si="0"/>
        <v>29.046575342465754</v>
      </c>
      <c r="G61" s="9" t="s">
        <v>321</v>
      </c>
      <c r="H61" s="44">
        <v>1</v>
      </c>
      <c r="I61" s="44"/>
      <c r="J61" s="19"/>
      <c r="K61" s="19"/>
      <c r="AH61">
        <f t="shared" si="1"/>
        <v>0</v>
      </c>
    </row>
    <row r="62" spans="2:34" ht="15.75" thickBot="1" x14ac:dyDescent="0.3">
      <c r="B62" s="13" t="s">
        <v>80</v>
      </c>
      <c r="C62" s="14" t="s">
        <v>88</v>
      </c>
      <c r="D62" s="14"/>
      <c r="E62" s="43">
        <v>34812</v>
      </c>
      <c r="F62" s="8">
        <f t="shared" ca="1" si="0"/>
        <v>29.084931506849315</v>
      </c>
      <c r="G62" s="7" t="s">
        <v>89</v>
      </c>
      <c r="H62" s="19">
        <v>1</v>
      </c>
      <c r="I62" s="19"/>
      <c r="J62" s="19"/>
      <c r="K62" s="19"/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AB62">
        <v>1</v>
      </c>
      <c r="AH62">
        <f t="shared" si="1"/>
        <v>7</v>
      </c>
    </row>
    <row r="63" spans="2:34" ht="15.75" thickBot="1" x14ac:dyDescent="0.3">
      <c r="B63" s="13" t="s">
        <v>80</v>
      </c>
      <c r="C63" s="14" t="s">
        <v>90</v>
      </c>
      <c r="D63" s="14"/>
      <c r="E63" s="43">
        <v>33829</v>
      </c>
      <c r="F63" s="8">
        <f t="shared" ca="1" si="0"/>
        <v>31.778082191780822</v>
      </c>
      <c r="G63" s="7" t="s">
        <v>38</v>
      </c>
      <c r="H63" s="19"/>
      <c r="I63" s="19"/>
      <c r="J63" s="19"/>
      <c r="K63" s="19"/>
      <c r="L63">
        <v>1</v>
      </c>
      <c r="M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AA63">
        <v>1</v>
      </c>
      <c r="AB63">
        <v>1</v>
      </c>
      <c r="AC63">
        <v>1</v>
      </c>
      <c r="AD63">
        <v>1</v>
      </c>
      <c r="AF63">
        <v>1</v>
      </c>
      <c r="AG63">
        <v>1</v>
      </c>
      <c r="AH63">
        <f t="shared" si="1"/>
        <v>16</v>
      </c>
    </row>
    <row r="64" spans="2:34" ht="15.75" thickBot="1" x14ac:dyDescent="0.3">
      <c r="B64" s="13" t="s">
        <v>80</v>
      </c>
      <c r="C64" s="14" t="s">
        <v>91</v>
      </c>
      <c r="D64" s="14"/>
      <c r="E64" s="43">
        <v>37200</v>
      </c>
      <c r="F64" s="8">
        <f t="shared" ca="1" si="0"/>
        <v>22.542465753424658</v>
      </c>
      <c r="G64" s="9" t="s">
        <v>38</v>
      </c>
      <c r="H64" s="19"/>
      <c r="I64" s="19">
        <v>1</v>
      </c>
      <c r="J64" s="19"/>
      <c r="K64" s="19"/>
      <c r="L64">
        <v>1</v>
      </c>
      <c r="M64">
        <v>1</v>
      </c>
      <c r="N64">
        <v>1</v>
      </c>
      <c r="R64">
        <v>1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H64">
        <f t="shared" si="1"/>
        <v>17</v>
      </c>
    </row>
    <row r="65" spans="2:34" ht="15.75" thickBot="1" x14ac:dyDescent="0.3">
      <c r="B65" s="13" t="s">
        <v>80</v>
      </c>
      <c r="C65" s="14" t="s">
        <v>92</v>
      </c>
      <c r="D65" s="14"/>
      <c r="E65" s="43">
        <v>36037</v>
      </c>
      <c r="F65" s="8">
        <f t="shared" ca="1" si="0"/>
        <v>25.728767123287671</v>
      </c>
      <c r="G65" s="7" t="s">
        <v>61</v>
      </c>
      <c r="H65" s="19"/>
      <c r="I65" s="19"/>
      <c r="J65" s="19"/>
      <c r="K65" s="19"/>
      <c r="M65">
        <v>1</v>
      </c>
      <c r="N65">
        <v>1</v>
      </c>
      <c r="O65">
        <v>1</v>
      </c>
      <c r="AH65">
        <f t="shared" si="1"/>
        <v>3</v>
      </c>
    </row>
    <row r="66" spans="2:34" ht="15.75" thickBot="1" x14ac:dyDescent="0.3">
      <c r="B66" s="13" t="s">
        <v>80</v>
      </c>
      <c r="C66" s="9" t="s">
        <v>322</v>
      </c>
      <c r="D66" s="9"/>
      <c r="E66" s="43">
        <v>34843</v>
      </c>
      <c r="F66" s="8">
        <f t="shared" ca="1" si="0"/>
        <v>29</v>
      </c>
      <c r="G66" s="9" t="s">
        <v>41</v>
      </c>
      <c r="H66" s="19"/>
      <c r="I66" s="19"/>
      <c r="J66" s="44">
        <v>1</v>
      </c>
      <c r="K66" s="19"/>
      <c r="AH66">
        <f t="shared" si="1"/>
        <v>0</v>
      </c>
    </row>
    <row r="67" spans="2:34" ht="15.75" thickBot="1" x14ac:dyDescent="0.3">
      <c r="B67" s="13" t="s">
        <v>80</v>
      </c>
      <c r="C67" s="9" t="s">
        <v>93</v>
      </c>
      <c r="D67" s="9"/>
      <c r="E67" s="43">
        <v>33576</v>
      </c>
      <c r="F67" s="8">
        <f t="shared" ref="F67:F130" ca="1" si="2">IFERROR(((TODAY()-E67)/365),"")</f>
        <v>32.471232876712328</v>
      </c>
      <c r="G67" s="7" t="s">
        <v>41</v>
      </c>
      <c r="H67" s="19"/>
      <c r="I67" s="19"/>
      <c r="J67" s="19"/>
      <c r="K67" s="19"/>
      <c r="L67">
        <v>1</v>
      </c>
      <c r="M67">
        <v>1</v>
      </c>
      <c r="N67">
        <v>1</v>
      </c>
      <c r="O67">
        <v>1</v>
      </c>
      <c r="Q67">
        <v>1</v>
      </c>
      <c r="R67">
        <v>1</v>
      </c>
      <c r="S67">
        <v>1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AA67">
        <v>1</v>
      </c>
      <c r="AC67">
        <v>1</v>
      </c>
      <c r="AD67">
        <v>1</v>
      </c>
      <c r="AE67">
        <v>1</v>
      </c>
      <c r="AF67">
        <v>1</v>
      </c>
      <c r="AG67">
        <v>1</v>
      </c>
      <c r="AH67">
        <f t="shared" si="1"/>
        <v>19</v>
      </c>
    </row>
    <row r="68" spans="2:34" ht="15.75" thickBot="1" x14ac:dyDescent="0.3">
      <c r="B68" s="13" t="s">
        <v>80</v>
      </c>
      <c r="C68" s="7" t="s">
        <v>323</v>
      </c>
      <c r="D68" s="7"/>
      <c r="E68" s="43">
        <v>34009</v>
      </c>
      <c r="F68" s="8">
        <f t="shared" ca="1" si="2"/>
        <v>31.284931506849315</v>
      </c>
      <c r="G68" s="7" t="s">
        <v>89</v>
      </c>
      <c r="H68" s="19"/>
      <c r="I68" s="19"/>
      <c r="J68" s="19"/>
      <c r="K68" s="19"/>
      <c r="AH68">
        <f t="shared" ref="AH68:AH131" si="3">SUM(L68:AG68)</f>
        <v>0</v>
      </c>
    </row>
    <row r="69" spans="2:34" ht="15.75" thickBot="1" x14ac:dyDescent="0.3">
      <c r="B69" s="13" t="s">
        <v>80</v>
      </c>
      <c r="C69" s="9" t="s">
        <v>94</v>
      </c>
      <c r="D69" s="9"/>
      <c r="E69" s="43">
        <v>33206</v>
      </c>
      <c r="F69" s="8">
        <f t="shared" ca="1" si="2"/>
        <v>33.484931506849314</v>
      </c>
      <c r="G69" s="7" t="s">
        <v>38</v>
      </c>
      <c r="H69" s="19"/>
      <c r="I69" s="19"/>
      <c r="J69" s="19"/>
      <c r="K69" s="19"/>
      <c r="W69">
        <v>1</v>
      </c>
      <c r="X69">
        <v>1</v>
      </c>
      <c r="Y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f t="shared" si="3"/>
        <v>10</v>
      </c>
    </row>
    <row r="70" spans="2:34" ht="15.75" thickBot="1" x14ac:dyDescent="0.3">
      <c r="B70" s="13" t="s">
        <v>80</v>
      </c>
      <c r="C70" s="9" t="s">
        <v>95</v>
      </c>
      <c r="D70" s="9"/>
      <c r="E70" s="43">
        <v>31741</v>
      </c>
      <c r="F70" s="8">
        <f t="shared" ca="1" si="2"/>
        <v>37.4986301369863</v>
      </c>
      <c r="G70" s="7" t="s">
        <v>38</v>
      </c>
      <c r="H70" s="19"/>
      <c r="I70" s="19"/>
      <c r="J70" s="19"/>
      <c r="K70" s="19"/>
      <c r="Q70">
        <v>1</v>
      </c>
      <c r="U70">
        <v>1</v>
      </c>
      <c r="V70">
        <v>1</v>
      </c>
      <c r="W70">
        <v>1</v>
      </c>
      <c r="AB70">
        <v>1</v>
      </c>
      <c r="AD70">
        <v>1</v>
      </c>
      <c r="AH70">
        <f t="shared" si="3"/>
        <v>6</v>
      </c>
    </row>
    <row r="71" spans="2:34" ht="15.75" thickBot="1" x14ac:dyDescent="0.3">
      <c r="B71" s="13" t="s">
        <v>80</v>
      </c>
      <c r="C71" s="7" t="s">
        <v>96</v>
      </c>
      <c r="D71" s="7"/>
      <c r="E71" s="43">
        <v>35930</v>
      </c>
      <c r="F71" s="8">
        <f t="shared" ca="1" si="2"/>
        <v>26.021917808219179</v>
      </c>
      <c r="G71" s="7" t="s">
        <v>38</v>
      </c>
      <c r="H71" s="19"/>
      <c r="I71" s="19"/>
      <c r="J71" s="19"/>
      <c r="K71" s="19"/>
      <c r="L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>
        <v>1</v>
      </c>
      <c r="AH71">
        <f t="shared" si="3"/>
        <v>8</v>
      </c>
    </row>
    <row r="72" spans="2:34" ht="15.75" thickBot="1" x14ac:dyDescent="0.3">
      <c r="B72" s="13" t="s">
        <v>80</v>
      </c>
      <c r="C72" s="9" t="s">
        <v>324</v>
      </c>
      <c r="D72" s="9"/>
      <c r="E72" s="43">
        <v>33305</v>
      </c>
      <c r="F72" s="8">
        <f t="shared" ca="1" si="2"/>
        <v>33.213698630136989</v>
      </c>
      <c r="G72" s="9" t="s">
        <v>126</v>
      </c>
      <c r="H72" s="44">
        <v>1</v>
      </c>
      <c r="I72" s="44"/>
      <c r="J72" s="19"/>
      <c r="K72" s="19"/>
      <c r="AH72">
        <f t="shared" si="3"/>
        <v>0</v>
      </c>
    </row>
    <row r="73" spans="2:34" ht="15.75" thickBot="1" x14ac:dyDescent="0.3">
      <c r="B73" s="13" t="s">
        <v>80</v>
      </c>
      <c r="C73" s="7" t="s">
        <v>325</v>
      </c>
      <c r="D73" s="7"/>
      <c r="E73" s="43" t="s">
        <v>317</v>
      </c>
      <c r="F73" s="8" t="str">
        <f t="shared" ca="1" si="2"/>
        <v/>
      </c>
      <c r="G73" s="9" t="s">
        <v>326</v>
      </c>
      <c r="H73" s="19"/>
      <c r="I73" s="19"/>
      <c r="J73" s="19"/>
      <c r="K73" s="19"/>
      <c r="AH73">
        <f t="shared" si="3"/>
        <v>0</v>
      </c>
    </row>
    <row r="74" spans="2:34" ht="15.75" thickBot="1" x14ac:dyDescent="0.3">
      <c r="B74" s="13" t="s">
        <v>80</v>
      </c>
      <c r="C74" s="9" t="s">
        <v>97</v>
      </c>
      <c r="D74" s="9"/>
      <c r="E74" s="43">
        <v>36260</v>
      </c>
      <c r="F74" s="8">
        <f t="shared" ca="1" si="2"/>
        <v>25.117808219178084</v>
      </c>
      <c r="G74" s="7" t="s">
        <v>61</v>
      </c>
      <c r="H74" s="19"/>
      <c r="I74" s="19"/>
      <c r="J74" s="19"/>
      <c r="K74" s="19"/>
      <c r="L74">
        <v>1</v>
      </c>
      <c r="M74">
        <v>1</v>
      </c>
      <c r="N74">
        <v>1</v>
      </c>
      <c r="S74">
        <v>1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AA74">
        <v>1</v>
      </c>
      <c r="AC74">
        <v>1</v>
      </c>
      <c r="AD74">
        <v>1</v>
      </c>
      <c r="AE74">
        <v>1</v>
      </c>
      <c r="AF74">
        <v>1</v>
      </c>
      <c r="AG74">
        <v>1</v>
      </c>
      <c r="AH74">
        <f t="shared" si="3"/>
        <v>16</v>
      </c>
    </row>
    <row r="75" spans="2:34" ht="15.75" thickBot="1" x14ac:dyDescent="0.3">
      <c r="B75" s="13" t="s">
        <v>80</v>
      </c>
      <c r="C75" s="10" t="s">
        <v>98</v>
      </c>
      <c r="D75" s="10"/>
      <c r="E75" s="43">
        <v>32877</v>
      </c>
      <c r="F75" s="8">
        <f t="shared" ca="1" si="2"/>
        <v>34.386301369863013</v>
      </c>
      <c r="G75" s="7" t="s">
        <v>38</v>
      </c>
      <c r="H75" s="19"/>
      <c r="I75" s="19"/>
      <c r="J75" s="19"/>
      <c r="K75" s="19"/>
      <c r="L75">
        <v>1</v>
      </c>
      <c r="O75">
        <v>1</v>
      </c>
      <c r="Q75">
        <v>1</v>
      </c>
      <c r="R75">
        <v>1</v>
      </c>
      <c r="S75">
        <v>1</v>
      </c>
      <c r="T75">
        <v>1</v>
      </c>
      <c r="U75">
        <v>1</v>
      </c>
      <c r="V75">
        <v>1</v>
      </c>
      <c r="W75">
        <v>1</v>
      </c>
      <c r="X75">
        <v>1</v>
      </c>
      <c r="Y75">
        <v>1</v>
      </c>
      <c r="AA75" s="12">
        <v>1</v>
      </c>
      <c r="AB75">
        <v>1</v>
      </c>
      <c r="AC75">
        <v>1</v>
      </c>
      <c r="AE75">
        <v>1</v>
      </c>
      <c r="AF75">
        <v>1</v>
      </c>
      <c r="AG75">
        <v>1</v>
      </c>
      <c r="AH75">
        <f t="shared" si="3"/>
        <v>17</v>
      </c>
    </row>
    <row r="76" spans="2:34" ht="15.75" thickBot="1" x14ac:dyDescent="0.3">
      <c r="B76" s="13" t="s">
        <v>80</v>
      </c>
      <c r="C76" s="10" t="s">
        <v>99</v>
      </c>
      <c r="D76" s="10"/>
      <c r="E76" s="43">
        <v>31465</v>
      </c>
      <c r="F76" s="8">
        <f t="shared" ca="1" si="2"/>
        <v>38.254794520547946</v>
      </c>
      <c r="G76" s="7" t="s">
        <v>38</v>
      </c>
      <c r="H76" s="19"/>
      <c r="I76" s="19"/>
      <c r="J76" s="19"/>
      <c r="K76" s="19"/>
      <c r="L76">
        <v>1</v>
      </c>
      <c r="M76">
        <v>1</v>
      </c>
      <c r="N76">
        <v>1</v>
      </c>
      <c r="O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AB76">
        <v>1</v>
      </c>
      <c r="AC76">
        <v>1</v>
      </c>
      <c r="AD76">
        <v>1</v>
      </c>
      <c r="AE76">
        <v>1</v>
      </c>
      <c r="AH76">
        <f t="shared" si="3"/>
        <v>17</v>
      </c>
    </row>
    <row r="77" spans="2:34" ht="15.75" thickBot="1" x14ac:dyDescent="0.3">
      <c r="B77" s="13" t="s">
        <v>80</v>
      </c>
      <c r="C77" s="10" t="s">
        <v>327</v>
      </c>
      <c r="D77" s="10"/>
      <c r="E77" s="43">
        <v>37967</v>
      </c>
      <c r="F77" s="8">
        <f t="shared" ca="1" si="2"/>
        <v>20.44109589041096</v>
      </c>
      <c r="G77" s="7" t="s">
        <v>38</v>
      </c>
      <c r="H77" s="19"/>
      <c r="I77" s="19"/>
      <c r="J77" s="19"/>
      <c r="K77" s="44">
        <v>1</v>
      </c>
      <c r="AH77">
        <f t="shared" si="3"/>
        <v>0</v>
      </c>
    </row>
    <row r="78" spans="2:34" ht="15.75" thickBot="1" x14ac:dyDescent="0.3">
      <c r="B78" s="13" t="s">
        <v>80</v>
      </c>
      <c r="C78" s="7" t="s">
        <v>328</v>
      </c>
      <c r="D78" s="7"/>
      <c r="E78" s="43">
        <v>30662</v>
      </c>
      <c r="F78" s="8">
        <f t="shared" ca="1" si="2"/>
        <v>40.454794520547942</v>
      </c>
      <c r="G78" s="7" t="s">
        <v>41</v>
      </c>
      <c r="H78" s="19"/>
      <c r="I78" s="19"/>
      <c r="J78" s="19"/>
      <c r="K78" s="19"/>
      <c r="AH78">
        <f t="shared" si="3"/>
        <v>0</v>
      </c>
    </row>
    <row r="79" spans="2:34" ht="15.75" thickBot="1" x14ac:dyDescent="0.3">
      <c r="B79" s="13" t="s">
        <v>80</v>
      </c>
      <c r="C79" s="9" t="s">
        <v>100</v>
      </c>
      <c r="D79" s="9"/>
      <c r="E79" s="43">
        <v>35767</v>
      </c>
      <c r="F79" s="8">
        <f t="shared" ca="1" si="2"/>
        <v>26.468493150684932</v>
      </c>
      <c r="G79" s="7" t="s">
        <v>41</v>
      </c>
      <c r="H79" s="19"/>
      <c r="I79" s="19"/>
      <c r="J79" s="19"/>
      <c r="K79" s="19"/>
      <c r="L79">
        <v>1</v>
      </c>
      <c r="R79">
        <v>1</v>
      </c>
      <c r="T79">
        <v>1</v>
      </c>
      <c r="U79">
        <v>1</v>
      </c>
      <c r="AH79">
        <f t="shared" si="3"/>
        <v>4</v>
      </c>
    </row>
    <row r="80" spans="2:34" ht="15.75" thickBot="1" x14ac:dyDescent="0.3">
      <c r="B80" s="13" t="s">
        <v>80</v>
      </c>
      <c r="C80" s="9" t="s">
        <v>101</v>
      </c>
      <c r="D80" s="9"/>
      <c r="E80" s="43">
        <v>36825</v>
      </c>
      <c r="F80" s="8">
        <f t="shared" ca="1" si="2"/>
        <v>23.56986301369863</v>
      </c>
      <c r="G80" s="7" t="s">
        <v>38</v>
      </c>
      <c r="H80" s="19"/>
      <c r="I80" s="19"/>
      <c r="J80" s="19"/>
      <c r="K80" s="19"/>
      <c r="AA80" s="12">
        <v>1</v>
      </c>
      <c r="AH80">
        <f t="shared" si="3"/>
        <v>1</v>
      </c>
    </row>
    <row r="81" spans="2:34" ht="15.75" thickBot="1" x14ac:dyDescent="0.3">
      <c r="B81" s="13" t="s">
        <v>80</v>
      </c>
      <c r="C81" s="9" t="s">
        <v>102</v>
      </c>
      <c r="D81" s="9"/>
      <c r="E81" s="43">
        <v>38425</v>
      </c>
      <c r="F81" s="8">
        <f t="shared" ca="1" si="2"/>
        <v>19.186301369863013</v>
      </c>
      <c r="G81" s="7" t="s">
        <v>38</v>
      </c>
      <c r="H81" s="19"/>
      <c r="I81" s="19"/>
      <c r="J81" s="19"/>
      <c r="K81" s="19"/>
      <c r="Y81">
        <v>1</v>
      </c>
      <c r="AA81">
        <v>1</v>
      </c>
      <c r="AD81">
        <v>1</v>
      </c>
      <c r="AE81">
        <v>1</v>
      </c>
      <c r="AF81">
        <v>1</v>
      </c>
      <c r="AG81">
        <v>1</v>
      </c>
      <c r="AH81">
        <f t="shared" si="3"/>
        <v>6</v>
      </c>
    </row>
    <row r="82" spans="2:34" ht="15.75" thickBot="1" x14ac:dyDescent="0.3">
      <c r="B82" s="13" t="s">
        <v>80</v>
      </c>
      <c r="C82" s="10" t="s">
        <v>103</v>
      </c>
      <c r="D82" s="10"/>
      <c r="E82" s="43">
        <v>31560</v>
      </c>
      <c r="F82" s="8">
        <f t="shared" ca="1" si="2"/>
        <v>37.994520547945207</v>
      </c>
      <c r="G82" s="7" t="s">
        <v>38</v>
      </c>
      <c r="H82" s="19"/>
      <c r="I82" s="19"/>
      <c r="J82" s="19"/>
      <c r="K82" s="19"/>
      <c r="L82">
        <v>1</v>
      </c>
      <c r="M82">
        <v>1</v>
      </c>
      <c r="N82">
        <v>1</v>
      </c>
      <c r="O82">
        <v>1</v>
      </c>
      <c r="Q82">
        <v>1</v>
      </c>
      <c r="R82">
        <v>1</v>
      </c>
      <c r="S82">
        <v>1</v>
      </c>
      <c r="T82">
        <v>1</v>
      </c>
      <c r="V82">
        <v>1</v>
      </c>
      <c r="AG82">
        <v>1</v>
      </c>
      <c r="AH82">
        <f t="shared" si="3"/>
        <v>10</v>
      </c>
    </row>
    <row r="83" spans="2:34" ht="15.75" thickBot="1" x14ac:dyDescent="0.3">
      <c r="B83" s="45" t="s">
        <v>329</v>
      </c>
      <c r="C83" s="14" t="s">
        <v>330</v>
      </c>
      <c r="D83" s="14"/>
      <c r="E83" s="46" t="s">
        <v>317</v>
      </c>
      <c r="F83" s="8" t="str">
        <f t="shared" ca="1" si="2"/>
        <v/>
      </c>
      <c r="G83" s="9" t="s">
        <v>131</v>
      </c>
      <c r="H83" s="19"/>
      <c r="I83" s="19"/>
      <c r="J83" s="19"/>
      <c r="K83" s="19"/>
      <c r="AH83">
        <f t="shared" si="3"/>
        <v>0</v>
      </c>
    </row>
    <row r="84" spans="2:34" ht="15.75" thickBot="1" x14ac:dyDescent="0.3">
      <c r="B84" s="45" t="s">
        <v>329</v>
      </c>
      <c r="C84" s="10" t="s">
        <v>331</v>
      </c>
      <c r="D84" s="10"/>
      <c r="E84" s="43">
        <v>33606</v>
      </c>
      <c r="F84" s="8">
        <f t="shared" ca="1" si="2"/>
        <v>32.389041095890413</v>
      </c>
      <c r="G84" s="7" t="s">
        <v>38</v>
      </c>
      <c r="H84" s="19"/>
      <c r="I84" s="19"/>
      <c r="J84" s="19"/>
      <c r="K84" s="19"/>
      <c r="AH84">
        <f t="shared" si="3"/>
        <v>0</v>
      </c>
    </row>
    <row r="85" spans="2:34" ht="15.75" thickBot="1" x14ac:dyDescent="0.3">
      <c r="B85" s="45" t="s">
        <v>329</v>
      </c>
      <c r="C85" s="7" t="s">
        <v>332</v>
      </c>
      <c r="D85" s="7"/>
      <c r="E85" s="43">
        <v>33994</v>
      </c>
      <c r="F85" s="8">
        <f t="shared" ca="1" si="2"/>
        <v>31.326027397260273</v>
      </c>
      <c r="G85" s="7" t="s">
        <v>61</v>
      </c>
      <c r="H85" s="19"/>
      <c r="I85" s="19"/>
      <c r="J85" s="19"/>
      <c r="K85" s="44">
        <v>1</v>
      </c>
      <c r="AH85">
        <f t="shared" si="3"/>
        <v>0</v>
      </c>
    </row>
    <row r="86" spans="2:34" ht="15.75" thickBot="1" x14ac:dyDescent="0.3">
      <c r="B86" s="15" t="s">
        <v>104</v>
      </c>
      <c r="C86" s="9" t="s">
        <v>105</v>
      </c>
      <c r="D86" s="9"/>
      <c r="E86" s="43">
        <v>34865</v>
      </c>
      <c r="F86" s="8">
        <f t="shared" ca="1" si="2"/>
        <v>28.93972602739726</v>
      </c>
      <c r="G86" s="7" t="s">
        <v>38</v>
      </c>
      <c r="H86" s="19"/>
      <c r="I86" s="19"/>
      <c r="J86" s="19"/>
      <c r="K86" s="19"/>
      <c r="L86">
        <v>1</v>
      </c>
      <c r="M86">
        <v>1</v>
      </c>
      <c r="N86">
        <v>1</v>
      </c>
      <c r="O86">
        <v>1</v>
      </c>
      <c r="P86">
        <v>1</v>
      </c>
      <c r="Q86">
        <v>1</v>
      </c>
      <c r="R86">
        <v>1</v>
      </c>
      <c r="U86">
        <v>1</v>
      </c>
      <c r="V86">
        <v>1</v>
      </c>
      <c r="W86">
        <v>1</v>
      </c>
      <c r="X86">
        <v>1</v>
      </c>
      <c r="Y86">
        <v>1</v>
      </c>
      <c r="AB86">
        <v>1</v>
      </c>
      <c r="AC86">
        <v>1</v>
      </c>
      <c r="AE86">
        <v>1</v>
      </c>
      <c r="AF86">
        <v>1</v>
      </c>
      <c r="AG86">
        <v>1</v>
      </c>
      <c r="AH86">
        <f t="shared" si="3"/>
        <v>17</v>
      </c>
    </row>
    <row r="87" spans="2:34" ht="15.75" thickBot="1" x14ac:dyDescent="0.3">
      <c r="B87" s="15" t="s">
        <v>104</v>
      </c>
      <c r="C87" s="9" t="s">
        <v>106</v>
      </c>
      <c r="D87" s="9"/>
      <c r="E87" s="43">
        <v>31097</v>
      </c>
      <c r="F87" s="8">
        <f t="shared" ca="1" si="2"/>
        <v>39.263013698630139</v>
      </c>
      <c r="G87" s="7" t="s">
        <v>38</v>
      </c>
      <c r="H87" s="19"/>
      <c r="I87" s="19"/>
      <c r="J87" s="19"/>
      <c r="K87" s="19"/>
      <c r="Z87" s="12">
        <v>1</v>
      </c>
      <c r="AA87" s="12">
        <v>1</v>
      </c>
      <c r="AH87">
        <f t="shared" si="3"/>
        <v>2</v>
      </c>
    </row>
    <row r="88" spans="2:34" ht="15.75" thickBot="1" x14ac:dyDescent="0.3">
      <c r="B88" s="15" t="s">
        <v>104</v>
      </c>
      <c r="C88" s="9" t="s">
        <v>107</v>
      </c>
      <c r="D88" s="9"/>
      <c r="E88" s="43">
        <v>34849</v>
      </c>
      <c r="F88" s="8">
        <f t="shared" ca="1" si="2"/>
        <v>28.983561643835618</v>
      </c>
      <c r="G88" s="7" t="s">
        <v>38</v>
      </c>
      <c r="H88" s="19"/>
      <c r="I88" s="19"/>
      <c r="J88" s="19"/>
      <c r="K88" s="19"/>
      <c r="L88">
        <v>1</v>
      </c>
      <c r="N88">
        <v>1</v>
      </c>
      <c r="O88">
        <v>1</v>
      </c>
      <c r="P88">
        <v>1</v>
      </c>
      <c r="Q88">
        <v>1</v>
      </c>
      <c r="R88">
        <v>1</v>
      </c>
      <c r="S88">
        <v>1</v>
      </c>
      <c r="U88">
        <v>1</v>
      </c>
      <c r="V88">
        <v>1</v>
      </c>
      <c r="W88">
        <v>1</v>
      </c>
      <c r="X88">
        <v>1</v>
      </c>
      <c r="AB88">
        <v>1</v>
      </c>
      <c r="AF88">
        <v>1</v>
      </c>
      <c r="AH88">
        <f t="shared" si="3"/>
        <v>13</v>
      </c>
    </row>
    <row r="89" spans="2:34" ht="15.75" thickBot="1" x14ac:dyDescent="0.3">
      <c r="B89" s="15" t="s">
        <v>104</v>
      </c>
      <c r="C89" s="7" t="s">
        <v>108</v>
      </c>
      <c r="D89" s="7"/>
      <c r="E89" s="43">
        <v>35005</v>
      </c>
      <c r="F89" s="8">
        <f t="shared" ca="1" si="2"/>
        <v>28.556164383561644</v>
      </c>
      <c r="G89" s="7" t="s">
        <v>38</v>
      </c>
      <c r="H89" s="19"/>
      <c r="I89" s="19"/>
      <c r="J89" s="19"/>
      <c r="K89" s="19"/>
      <c r="M89">
        <v>1</v>
      </c>
      <c r="N89">
        <v>1</v>
      </c>
      <c r="O89">
        <v>1</v>
      </c>
      <c r="P89">
        <v>1</v>
      </c>
      <c r="Q89">
        <v>1</v>
      </c>
      <c r="R89">
        <v>1</v>
      </c>
      <c r="U89">
        <v>1</v>
      </c>
      <c r="V89">
        <v>1</v>
      </c>
      <c r="W89">
        <v>1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F89">
        <v>1</v>
      </c>
      <c r="AG89">
        <v>1</v>
      </c>
      <c r="AH89">
        <f t="shared" si="3"/>
        <v>17</v>
      </c>
    </row>
    <row r="90" spans="2:34" ht="15.75" thickBot="1" x14ac:dyDescent="0.3">
      <c r="B90" s="15" t="s">
        <v>104</v>
      </c>
      <c r="C90" s="7" t="s">
        <v>109</v>
      </c>
      <c r="D90" s="7"/>
      <c r="E90" s="43">
        <v>31908</v>
      </c>
      <c r="F90" s="8">
        <f t="shared" ca="1" si="2"/>
        <v>37.041095890410958</v>
      </c>
      <c r="G90" s="7" t="s">
        <v>38</v>
      </c>
      <c r="H90" s="44"/>
      <c r="I90" s="44"/>
      <c r="J90" s="19"/>
      <c r="K90" s="19"/>
      <c r="L90">
        <v>1</v>
      </c>
      <c r="M90">
        <v>1</v>
      </c>
      <c r="P90">
        <v>1</v>
      </c>
      <c r="Q90">
        <v>1</v>
      </c>
      <c r="R90">
        <v>1</v>
      </c>
      <c r="S90">
        <v>1</v>
      </c>
      <c r="U90">
        <v>1</v>
      </c>
      <c r="V90">
        <v>1</v>
      </c>
      <c r="W90">
        <v>1</v>
      </c>
      <c r="X90">
        <v>1</v>
      </c>
      <c r="Y90">
        <v>1</v>
      </c>
      <c r="Z90">
        <v>1</v>
      </c>
      <c r="AA90">
        <v>1</v>
      </c>
      <c r="AB90">
        <v>1</v>
      </c>
      <c r="AC90">
        <v>1</v>
      </c>
      <c r="AF90">
        <v>1</v>
      </c>
      <c r="AG90">
        <v>1</v>
      </c>
      <c r="AH90">
        <f t="shared" si="3"/>
        <v>17</v>
      </c>
    </row>
    <row r="91" spans="2:34" ht="15.75" thickBot="1" x14ac:dyDescent="0.3">
      <c r="B91" s="15" t="s">
        <v>104</v>
      </c>
      <c r="C91" s="9" t="s">
        <v>110</v>
      </c>
      <c r="D91" s="9"/>
      <c r="E91" s="43">
        <v>34562</v>
      </c>
      <c r="F91" s="8">
        <f t="shared" ca="1" si="2"/>
        <v>29.769863013698629</v>
      </c>
      <c r="G91" s="7" t="s">
        <v>38</v>
      </c>
      <c r="H91" s="19"/>
      <c r="I91" s="19"/>
      <c r="J91" s="19"/>
      <c r="K91" s="19"/>
      <c r="Y91">
        <v>1</v>
      </c>
      <c r="AH91">
        <f t="shared" si="3"/>
        <v>1</v>
      </c>
    </row>
    <row r="92" spans="2:34" ht="15.75" thickBot="1" x14ac:dyDescent="0.3">
      <c r="B92" s="15" t="s">
        <v>104</v>
      </c>
      <c r="C92" s="7" t="s">
        <v>111</v>
      </c>
      <c r="D92" s="7"/>
      <c r="E92" s="43">
        <v>36700</v>
      </c>
      <c r="F92" s="8">
        <f t="shared" ca="1" si="2"/>
        <v>23.912328767123288</v>
      </c>
      <c r="G92" s="7" t="s">
        <v>38</v>
      </c>
      <c r="H92" s="19"/>
      <c r="I92" s="19"/>
      <c r="J92" s="19"/>
      <c r="K92" s="19"/>
      <c r="L92">
        <v>1</v>
      </c>
      <c r="M92">
        <v>1</v>
      </c>
      <c r="N92">
        <v>1</v>
      </c>
      <c r="O92">
        <v>1</v>
      </c>
      <c r="P92">
        <v>1</v>
      </c>
      <c r="W92">
        <v>1</v>
      </c>
      <c r="X92">
        <v>1</v>
      </c>
      <c r="Y92">
        <v>1</v>
      </c>
      <c r="Z92">
        <v>1</v>
      </c>
      <c r="AB92">
        <v>1</v>
      </c>
      <c r="AC92">
        <v>1</v>
      </c>
      <c r="AE92">
        <v>1</v>
      </c>
      <c r="AF92">
        <v>1</v>
      </c>
      <c r="AG92">
        <v>1</v>
      </c>
      <c r="AH92">
        <f t="shared" si="3"/>
        <v>14</v>
      </c>
    </row>
    <row r="93" spans="2:34" ht="15.75" thickBot="1" x14ac:dyDescent="0.3">
      <c r="B93" s="15" t="s">
        <v>104</v>
      </c>
      <c r="C93" s="9" t="s">
        <v>112</v>
      </c>
      <c r="D93" s="9"/>
      <c r="E93" s="43">
        <v>32120</v>
      </c>
      <c r="F93" s="8">
        <f t="shared" ca="1" si="2"/>
        <v>36.460273972602742</v>
      </c>
      <c r="G93" s="7" t="s">
        <v>38</v>
      </c>
      <c r="H93" s="19"/>
      <c r="I93" s="19"/>
      <c r="J93" s="19"/>
      <c r="K93" s="19"/>
      <c r="S93">
        <v>1</v>
      </c>
      <c r="W93">
        <v>1</v>
      </c>
      <c r="Y93">
        <v>1</v>
      </c>
      <c r="AA93">
        <v>1</v>
      </c>
      <c r="AF93">
        <v>1</v>
      </c>
      <c r="AH93">
        <f t="shared" si="3"/>
        <v>5</v>
      </c>
    </row>
    <row r="94" spans="2:34" ht="15.75" thickBot="1" x14ac:dyDescent="0.3">
      <c r="B94" s="15" t="s">
        <v>104</v>
      </c>
      <c r="C94" s="9" t="s">
        <v>113</v>
      </c>
      <c r="D94" s="9"/>
      <c r="E94" s="43">
        <v>35951</v>
      </c>
      <c r="F94" s="8">
        <f t="shared" ca="1" si="2"/>
        <v>25.964383561643835</v>
      </c>
      <c r="G94" s="7" t="s">
        <v>41</v>
      </c>
      <c r="H94" s="19"/>
      <c r="I94" s="19"/>
      <c r="J94" s="19"/>
      <c r="K94" s="19"/>
      <c r="L94">
        <v>1</v>
      </c>
      <c r="M94">
        <v>1</v>
      </c>
      <c r="N94">
        <v>1</v>
      </c>
      <c r="O94">
        <v>1</v>
      </c>
      <c r="P94">
        <v>1</v>
      </c>
      <c r="Q94">
        <v>1</v>
      </c>
      <c r="R94">
        <v>1</v>
      </c>
      <c r="S94">
        <v>1</v>
      </c>
      <c r="U94">
        <v>1</v>
      </c>
      <c r="V94">
        <v>1</v>
      </c>
      <c r="X94">
        <v>1</v>
      </c>
      <c r="Y94">
        <v>1</v>
      </c>
      <c r="Z94">
        <v>1</v>
      </c>
      <c r="AA94">
        <v>1</v>
      </c>
      <c r="AB94">
        <v>1</v>
      </c>
      <c r="AC94">
        <v>1</v>
      </c>
      <c r="AF94">
        <v>1</v>
      </c>
      <c r="AG94">
        <v>1</v>
      </c>
      <c r="AH94">
        <f t="shared" si="3"/>
        <v>18</v>
      </c>
    </row>
    <row r="95" spans="2:34" ht="15.75" thickBot="1" x14ac:dyDescent="0.3">
      <c r="B95" s="15" t="s">
        <v>104</v>
      </c>
      <c r="C95" s="9" t="s">
        <v>114</v>
      </c>
      <c r="D95" s="9"/>
      <c r="E95" s="43">
        <v>35352</v>
      </c>
      <c r="F95" s="8">
        <f t="shared" ca="1" si="2"/>
        <v>27.605479452054794</v>
      </c>
      <c r="G95" s="7" t="s">
        <v>38</v>
      </c>
      <c r="H95" s="19"/>
      <c r="I95" s="19"/>
      <c r="J95" s="19"/>
      <c r="K95" s="19"/>
      <c r="L95">
        <v>1</v>
      </c>
      <c r="M95">
        <v>1</v>
      </c>
      <c r="N95">
        <v>1</v>
      </c>
      <c r="P95">
        <v>1</v>
      </c>
      <c r="R95">
        <v>1</v>
      </c>
      <c r="S95">
        <v>1</v>
      </c>
      <c r="U95">
        <v>1</v>
      </c>
      <c r="V95">
        <v>1</v>
      </c>
      <c r="W95">
        <v>1</v>
      </c>
      <c r="X95">
        <v>1</v>
      </c>
      <c r="Z95">
        <v>1</v>
      </c>
      <c r="AA95">
        <v>1</v>
      </c>
      <c r="AB95">
        <v>1</v>
      </c>
      <c r="AC95">
        <v>1</v>
      </c>
      <c r="AE95">
        <v>1</v>
      </c>
      <c r="AF95">
        <v>1</v>
      </c>
      <c r="AG95">
        <v>1</v>
      </c>
      <c r="AH95">
        <f t="shared" si="3"/>
        <v>17</v>
      </c>
    </row>
    <row r="96" spans="2:34" ht="15.75" thickBot="1" x14ac:dyDescent="0.3">
      <c r="B96" s="15" t="s">
        <v>104</v>
      </c>
      <c r="C96" s="9" t="s">
        <v>115</v>
      </c>
      <c r="D96" s="9"/>
      <c r="E96" s="43">
        <v>35961</v>
      </c>
      <c r="F96" s="8">
        <f t="shared" ca="1" si="2"/>
        <v>25.936986301369863</v>
      </c>
      <c r="G96" s="7" t="s">
        <v>38</v>
      </c>
      <c r="H96" s="19"/>
      <c r="I96" s="19"/>
      <c r="J96" s="19"/>
      <c r="K96" s="19"/>
      <c r="M96">
        <v>1</v>
      </c>
      <c r="O96">
        <v>1</v>
      </c>
      <c r="S96">
        <v>1</v>
      </c>
      <c r="Y96">
        <v>1</v>
      </c>
      <c r="AA96">
        <v>1</v>
      </c>
      <c r="AB96">
        <v>1</v>
      </c>
      <c r="AE96">
        <v>1</v>
      </c>
      <c r="AG96">
        <v>1</v>
      </c>
      <c r="AH96">
        <f t="shared" si="3"/>
        <v>8</v>
      </c>
    </row>
    <row r="97" spans="2:34" ht="15.75" thickBot="1" x14ac:dyDescent="0.3">
      <c r="B97" s="15" t="s">
        <v>104</v>
      </c>
      <c r="C97" s="9" t="s">
        <v>116</v>
      </c>
      <c r="D97" s="9"/>
      <c r="E97" s="43">
        <v>34178</v>
      </c>
      <c r="F97" s="8">
        <f t="shared" ca="1" si="2"/>
        <v>30.82191780821918</v>
      </c>
      <c r="G97" s="7" t="s">
        <v>61</v>
      </c>
      <c r="H97" s="19"/>
      <c r="I97" s="19"/>
      <c r="J97" s="19"/>
      <c r="K97" s="19"/>
      <c r="L97">
        <v>1</v>
      </c>
      <c r="M97">
        <v>1</v>
      </c>
      <c r="N97">
        <v>1</v>
      </c>
      <c r="O97">
        <v>1</v>
      </c>
      <c r="P97">
        <v>1</v>
      </c>
      <c r="Q97">
        <v>1</v>
      </c>
      <c r="R97">
        <v>1</v>
      </c>
      <c r="S97">
        <v>1</v>
      </c>
      <c r="U97">
        <v>1</v>
      </c>
      <c r="V97">
        <v>1</v>
      </c>
      <c r="AH97">
        <f t="shared" si="3"/>
        <v>10</v>
      </c>
    </row>
    <row r="98" spans="2:34" ht="15.75" thickBot="1" x14ac:dyDescent="0.3">
      <c r="B98" s="15" t="s">
        <v>104</v>
      </c>
      <c r="C98" s="9" t="s">
        <v>117</v>
      </c>
      <c r="D98" s="9"/>
      <c r="E98" s="43">
        <v>32992</v>
      </c>
      <c r="F98" s="8">
        <f t="shared" ca="1" si="2"/>
        <v>34.07123287671233</v>
      </c>
      <c r="G98" s="16" t="s">
        <v>38</v>
      </c>
      <c r="H98" s="19"/>
      <c r="I98" s="19"/>
      <c r="J98" s="19"/>
      <c r="K98" s="19"/>
      <c r="L98">
        <v>1</v>
      </c>
      <c r="M98">
        <v>1</v>
      </c>
      <c r="N98">
        <v>1</v>
      </c>
      <c r="O98">
        <v>1</v>
      </c>
      <c r="P98">
        <v>1</v>
      </c>
      <c r="Q98">
        <v>1</v>
      </c>
      <c r="R98">
        <v>1</v>
      </c>
      <c r="S98">
        <v>1</v>
      </c>
      <c r="U98">
        <v>1</v>
      </c>
      <c r="V98">
        <v>1</v>
      </c>
      <c r="W98">
        <v>1</v>
      </c>
      <c r="X98">
        <v>1</v>
      </c>
      <c r="Y98">
        <v>1</v>
      </c>
      <c r="Z98">
        <v>1</v>
      </c>
      <c r="AA98">
        <v>1</v>
      </c>
      <c r="AC98">
        <v>1</v>
      </c>
      <c r="AF98">
        <v>1</v>
      </c>
      <c r="AG98">
        <v>1</v>
      </c>
      <c r="AH98">
        <f t="shared" si="3"/>
        <v>18</v>
      </c>
    </row>
    <row r="99" spans="2:34" ht="15.75" thickBot="1" x14ac:dyDescent="0.3">
      <c r="B99" s="15" t="s">
        <v>104</v>
      </c>
      <c r="C99" s="7" t="s">
        <v>118</v>
      </c>
      <c r="D99" s="7"/>
      <c r="E99" s="43">
        <v>32541</v>
      </c>
      <c r="F99" s="8">
        <f t="shared" ca="1" si="2"/>
        <v>35.30684931506849</v>
      </c>
      <c r="G99" s="7" t="s">
        <v>38</v>
      </c>
      <c r="H99" s="19"/>
      <c r="I99" s="19"/>
      <c r="J99" s="19"/>
      <c r="K99" s="19"/>
      <c r="L99">
        <v>1</v>
      </c>
      <c r="N99">
        <v>1</v>
      </c>
      <c r="Q99">
        <v>1</v>
      </c>
      <c r="R99">
        <v>1</v>
      </c>
      <c r="S99">
        <v>1</v>
      </c>
      <c r="U99">
        <v>1</v>
      </c>
      <c r="V99">
        <v>1</v>
      </c>
      <c r="W99">
        <v>1</v>
      </c>
      <c r="X99">
        <v>1</v>
      </c>
      <c r="Z99">
        <v>1</v>
      </c>
      <c r="AA99">
        <v>1</v>
      </c>
      <c r="AB99">
        <v>1</v>
      </c>
      <c r="AC99">
        <v>1</v>
      </c>
      <c r="AF99">
        <v>1</v>
      </c>
      <c r="AH99">
        <f t="shared" si="3"/>
        <v>14</v>
      </c>
    </row>
    <row r="100" spans="2:34" ht="15.75" thickBot="1" x14ac:dyDescent="0.3">
      <c r="B100" s="15" t="s">
        <v>104</v>
      </c>
      <c r="C100" s="9" t="s">
        <v>119</v>
      </c>
      <c r="D100" s="9"/>
      <c r="E100" s="43">
        <v>35225</v>
      </c>
      <c r="F100" s="8">
        <f t="shared" ca="1" si="2"/>
        <v>27.953424657534246</v>
      </c>
      <c r="G100" s="7" t="s">
        <v>38</v>
      </c>
      <c r="H100" s="19"/>
      <c r="I100" s="19"/>
      <c r="J100" s="19"/>
      <c r="K100" s="19"/>
      <c r="L100">
        <v>1</v>
      </c>
      <c r="N100">
        <v>1</v>
      </c>
      <c r="O100">
        <v>1</v>
      </c>
      <c r="P100">
        <v>1</v>
      </c>
      <c r="Q100">
        <v>1</v>
      </c>
      <c r="R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E100">
        <v>1</v>
      </c>
      <c r="AF100">
        <v>1</v>
      </c>
      <c r="AG100">
        <v>1</v>
      </c>
      <c r="AH100">
        <f t="shared" si="3"/>
        <v>18</v>
      </c>
    </row>
    <row r="101" spans="2:34" ht="15.75" thickBot="1" x14ac:dyDescent="0.3">
      <c r="B101" s="15" t="s">
        <v>104</v>
      </c>
      <c r="C101" s="9" t="s">
        <v>120</v>
      </c>
      <c r="D101" s="9"/>
      <c r="E101" s="43">
        <v>30638</v>
      </c>
      <c r="F101" s="8">
        <f t="shared" ca="1" si="2"/>
        <v>40.520547945205479</v>
      </c>
      <c r="G101" s="9" t="s">
        <v>38</v>
      </c>
      <c r="H101" s="19"/>
      <c r="I101" s="19"/>
      <c r="J101" s="19"/>
      <c r="K101" s="19"/>
      <c r="L101">
        <v>1</v>
      </c>
      <c r="M101">
        <v>1</v>
      </c>
      <c r="AH101">
        <f t="shared" si="3"/>
        <v>2</v>
      </c>
    </row>
    <row r="102" spans="2:34" ht="15.75" thickBot="1" x14ac:dyDescent="0.3">
      <c r="B102" s="15" t="s">
        <v>104</v>
      </c>
      <c r="C102" s="9" t="s">
        <v>121</v>
      </c>
      <c r="D102" s="9"/>
      <c r="E102" s="43">
        <v>32807</v>
      </c>
      <c r="F102" s="8">
        <f t="shared" ca="1" si="2"/>
        <v>34.578082191780823</v>
      </c>
      <c r="G102" s="9" t="s">
        <v>41</v>
      </c>
      <c r="H102" s="19"/>
      <c r="I102" s="19"/>
      <c r="J102" s="19"/>
      <c r="K102" s="19"/>
      <c r="M102">
        <v>1</v>
      </c>
      <c r="N102">
        <v>1</v>
      </c>
      <c r="O102">
        <v>1</v>
      </c>
      <c r="P102">
        <v>1</v>
      </c>
      <c r="Q102">
        <v>1</v>
      </c>
      <c r="R102">
        <v>1</v>
      </c>
      <c r="S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E102">
        <v>1</v>
      </c>
      <c r="AF102">
        <v>1</v>
      </c>
      <c r="AG102">
        <v>1</v>
      </c>
      <c r="AH102">
        <f t="shared" si="3"/>
        <v>19</v>
      </c>
    </row>
    <row r="103" spans="2:34" ht="15.75" thickBot="1" x14ac:dyDescent="0.3">
      <c r="B103" s="15" t="s">
        <v>104</v>
      </c>
      <c r="C103" s="9" t="s">
        <v>122</v>
      </c>
      <c r="D103" s="9"/>
      <c r="E103" s="43">
        <v>34513</v>
      </c>
      <c r="F103" s="8">
        <f t="shared" ca="1" si="2"/>
        <v>29.904109589041095</v>
      </c>
      <c r="G103" s="7" t="s">
        <v>38</v>
      </c>
      <c r="H103" s="19"/>
      <c r="I103" s="19"/>
      <c r="J103" s="19"/>
      <c r="K103" s="19"/>
      <c r="L103">
        <v>1</v>
      </c>
      <c r="M103">
        <v>1</v>
      </c>
      <c r="N103">
        <v>1</v>
      </c>
      <c r="O103">
        <v>1</v>
      </c>
      <c r="P103">
        <v>1</v>
      </c>
      <c r="Q103">
        <v>1</v>
      </c>
      <c r="R103">
        <v>1</v>
      </c>
      <c r="S103">
        <v>1</v>
      </c>
      <c r="U103">
        <v>1</v>
      </c>
      <c r="V103">
        <v>1</v>
      </c>
      <c r="W103">
        <v>1</v>
      </c>
      <c r="Z103">
        <v>1</v>
      </c>
      <c r="AB103">
        <v>1</v>
      </c>
      <c r="AE103">
        <v>1</v>
      </c>
      <c r="AH103">
        <f t="shared" si="3"/>
        <v>14</v>
      </c>
    </row>
    <row r="104" spans="2:34" ht="15.75" thickBot="1" x14ac:dyDescent="0.3">
      <c r="B104" s="15" t="s">
        <v>104</v>
      </c>
      <c r="C104" s="9" t="s">
        <v>123</v>
      </c>
      <c r="D104" s="9"/>
      <c r="E104" s="43">
        <v>35961</v>
      </c>
      <c r="F104" s="8">
        <f t="shared" ca="1" si="2"/>
        <v>25.936986301369863</v>
      </c>
      <c r="G104" s="7" t="s">
        <v>38</v>
      </c>
      <c r="H104" s="19"/>
      <c r="I104" s="19"/>
      <c r="J104" s="19"/>
      <c r="K104" s="19"/>
      <c r="O104">
        <v>1</v>
      </c>
      <c r="Q104">
        <v>1</v>
      </c>
      <c r="S104">
        <v>1</v>
      </c>
      <c r="Y104">
        <v>1</v>
      </c>
      <c r="Z104">
        <v>1</v>
      </c>
      <c r="AA104">
        <v>1</v>
      </c>
      <c r="AC104">
        <v>1</v>
      </c>
      <c r="AE104">
        <v>1</v>
      </c>
      <c r="AH104">
        <f t="shared" si="3"/>
        <v>8</v>
      </c>
    </row>
    <row r="105" spans="2:34" ht="15.75" thickBot="1" x14ac:dyDescent="0.3">
      <c r="B105" s="15" t="s">
        <v>104</v>
      </c>
      <c r="C105" s="9" t="s">
        <v>333</v>
      </c>
      <c r="D105" s="9"/>
      <c r="E105" s="43">
        <v>38518</v>
      </c>
      <c r="F105" s="8">
        <f t="shared" ca="1" si="2"/>
        <v>18.931506849315067</v>
      </c>
      <c r="G105" s="7" t="s">
        <v>38</v>
      </c>
      <c r="H105" s="19"/>
      <c r="I105" s="19"/>
      <c r="J105" s="19"/>
      <c r="K105" s="19"/>
      <c r="AH105">
        <f t="shared" si="3"/>
        <v>0</v>
      </c>
    </row>
    <row r="106" spans="2:34" ht="15.75" thickBot="1" x14ac:dyDescent="0.3">
      <c r="B106" s="17" t="s">
        <v>124</v>
      </c>
      <c r="C106" s="14" t="s">
        <v>125</v>
      </c>
      <c r="D106" s="14"/>
      <c r="E106" s="43">
        <v>36076</v>
      </c>
      <c r="F106" s="8">
        <f t="shared" ca="1" si="2"/>
        <v>25.621917808219177</v>
      </c>
      <c r="G106" s="9" t="s">
        <v>126</v>
      </c>
      <c r="H106" s="44">
        <v>1</v>
      </c>
      <c r="I106" s="44"/>
      <c r="J106" s="19"/>
      <c r="K106" s="19"/>
      <c r="Y106">
        <v>1</v>
      </c>
      <c r="AB106">
        <v>1</v>
      </c>
      <c r="AE106">
        <v>1</v>
      </c>
      <c r="AF106">
        <v>1</v>
      </c>
      <c r="AG106">
        <v>1</v>
      </c>
      <c r="AH106">
        <f t="shared" si="3"/>
        <v>5</v>
      </c>
    </row>
    <row r="107" spans="2:34" ht="15.75" thickBot="1" x14ac:dyDescent="0.3">
      <c r="B107" s="17" t="s">
        <v>124</v>
      </c>
      <c r="C107" s="10" t="s">
        <v>334</v>
      </c>
      <c r="D107" s="10"/>
      <c r="E107" s="43">
        <v>32183</v>
      </c>
      <c r="F107" s="8">
        <f t="shared" ca="1" si="2"/>
        <v>36.287671232876711</v>
      </c>
      <c r="G107" s="7" t="s">
        <v>46</v>
      </c>
      <c r="H107" s="19"/>
      <c r="I107" s="19"/>
      <c r="J107" s="19"/>
      <c r="K107" s="19"/>
      <c r="AH107">
        <f t="shared" si="3"/>
        <v>0</v>
      </c>
    </row>
    <row r="108" spans="2:34" ht="15.75" thickBot="1" x14ac:dyDescent="0.3">
      <c r="B108" s="17" t="s">
        <v>124</v>
      </c>
      <c r="C108" s="14" t="s">
        <v>127</v>
      </c>
      <c r="D108" s="14"/>
      <c r="E108" s="43">
        <v>32792</v>
      </c>
      <c r="F108" s="8">
        <f t="shared" ca="1" si="2"/>
        <v>34.61917808219178</v>
      </c>
      <c r="G108" s="9" t="s">
        <v>41</v>
      </c>
      <c r="H108" s="19"/>
      <c r="I108" s="19"/>
      <c r="J108" s="19"/>
      <c r="K108" s="19"/>
      <c r="L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Y108">
        <v>1</v>
      </c>
      <c r="Z108">
        <v>1</v>
      </c>
      <c r="AA108">
        <v>1</v>
      </c>
      <c r="AB108">
        <v>1</v>
      </c>
      <c r="AD108">
        <v>1</v>
      </c>
      <c r="AE108">
        <v>1</v>
      </c>
      <c r="AF108">
        <v>1</v>
      </c>
      <c r="AG108">
        <v>1</v>
      </c>
      <c r="AH108">
        <f t="shared" si="3"/>
        <v>18</v>
      </c>
    </row>
    <row r="109" spans="2:34" ht="15.75" thickBot="1" x14ac:dyDescent="0.3">
      <c r="B109" s="17" t="s">
        <v>124</v>
      </c>
      <c r="C109" s="14" t="s">
        <v>128</v>
      </c>
      <c r="D109" s="14"/>
      <c r="E109" s="43">
        <v>34950</v>
      </c>
      <c r="F109" s="8">
        <f t="shared" ca="1" si="2"/>
        <v>28.706849315068492</v>
      </c>
      <c r="G109" s="9" t="s">
        <v>129</v>
      </c>
      <c r="H109" s="19">
        <v>1</v>
      </c>
      <c r="I109" s="19"/>
      <c r="J109" s="19"/>
      <c r="K109" s="19"/>
      <c r="AA109">
        <v>1</v>
      </c>
      <c r="AC109">
        <v>1</v>
      </c>
      <c r="AD109">
        <v>1</v>
      </c>
      <c r="AE109">
        <v>1</v>
      </c>
      <c r="AH109">
        <f t="shared" si="3"/>
        <v>4</v>
      </c>
    </row>
    <row r="110" spans="2:34" ht="15.75" thickBot="1" x14ac:dyDescent="0.3">
      <c r="B110" s="17" t="s">
        <v>124</v>
      </c>
      <c r="C110" s="7" t="s">
        <v>130</v>
      </c>
      <c r="D110" s="7"/>
      <c r="E110" s="43">
        <v>35126</v>
      </c>
      <c r="F110" s="8">
        <f t="shared" ca="1" si="2"/>
        <v>28.224657534246575</v>
      </c>
      <c r="G110" s="7" t="s">
        <v>131</v>
      </c>
      <c r="H110" s="44"/>
      <c r="I110" s="44"/>
      <c r="J110" s="19"/>
      <c r="K110" s="19"/>
      <c r="L110">
        <v>1</v>
      </c>
      <c r="N110">
        <v>1</v>
      </c>
      <c r="O110">
        <v>1</v>
      </c>
      <c r="P110">
        <v>1</v>
      </c>
      <c r="Q110">
        <v>1</v>
      </c>
      <c r="R110">
        <v>1</v>
      </c>
      <c r="S110">
        <v>1</v>
      </c>
      <c r="T110">
        <v>1</v>
      </c>
      <c r="U110">
        <v>1</v>
      </c>
      <c r="V110">
        <v>1</v>
      </c>
      <c r="X110">
        <v>1</v>
      </c>
      <c r="Y110">
        <v>1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>
        <v>1</v>
      </c>
      <c r="AH110">
        <f t="shared" si="3"/>
        <v>20</v>
      </c>
    </row>
    <row r="111" spans="2:34" ht="15.75" thickBot="1" x14ac:dyDescent="0.3">
      <c r="B111" s="17" t="s">
        <v>124</v>
      </c>
      <c r="C111" s="9" t="s">
        <v>335</v>
      </c>
      <c r="D111" s="9"/>
      <c r="E111" s="43">
        <v>35254</v>
      </c>
      <c r="F111" s="8">
        <f t="shared" ca="1" si="2"/>
        <v>27.873972602739727</v>
      </c>
      <c r="G111" s="9" t="s">
        <v>46</v>
      </c>
      <c r="H111" s="44">
        <v>1</v>
      </c>
      <c r="I111" s="44"/>
      <c r="J111" s="19"/>
      <c r="K111" s="19"/>
      <c r="AH111">
        <f t="shared" si="3"/>
        <v>0</v>
      </c>
    </row>
    <row r="112" spans="2:34" ht="15.75" thickBot="1" x14ac:dyDescent="0.3">
      <c r="B112" s="17" t="s">
        <v>124</v>
      </c>
      <c r="C112" s="14" t="s">
        <v>336</v>
      </c>
      <c r="D112" s="14"/>
      <c r="E112" s="43">
        <v>31312</v>
      </c>
      <c r="F112" s="8">
        <f t="shared" ca="1" si="2"/>
        <v>38.673972602739724</v>
      </c>
      <c r="G112" s="9" t="s">
        <v>337</v>
      </c>
      <c r="H112" s="19"/>
      <c r="I112" s="19"/>
      <c r="J112" s="19"/>
      <c r="K112" s="19"/>
      <c r="AH112">
        <f t="shared" si="3"/>
        <v>0</v>
      </c>
    </row>
    <row r="113" spans="2:34" ht="15.75" thickBot="1" x14ac:dyDescent="0.3">
      <c r="B113" s="17" t="s">
        <v>124</v>
      </c>
      <c r="C113" s="7" t="s">
        <v>132</v>
      </c>
      <c r="D113" s="7"/>
      <c r="E113" s="43">
        <v>36622</v>
      </c>
      <c r="F113" s="8">
        <f t="shared" ca="1" si="2"/>
        <v>24.126027397260273</v>
      </c>
      <c r="G113" s="7" t="s">
        <v>38</v>
      </c>
      <c r="H113" s="19"/>
      <c r="I113" s="19">
        <v>1</v>
      </c>
      <c r="J113" s="19"/>
      <c r="K113" s="19"/>
      <c r="L113">
        <v>1</v>
      </c>
      <c r="N113">
        <v>1</v>
      </c>
      <c r="O113">
        <v>1</v>
      </c>
      <c r="P113">
        <v>1</v>
      </c>
      <c r="R113">
        <v>1</v>
      </c>
      <c r="S113">
        <v>1</v>
      </c>
      <c r="T113">
        <v>1</v>
      </c>
      <c r="U113">
        <v>1</v>
      </c>
      <c r="V113">
        <v>1</v>
      </c>
      <c r="X113">
        <v>1</v>
      </c>
      <c r="Y113">
        <v>1</v>
      </c>
      <c r="AA113">
        <v>1</v>
      </c>
      <c r="AB113">
        <v>1</v>
      </c>
      <c r="AE113">
        <v>1</v>
      </c>
      <c r="AF113">
        <v>1</v>
      </c>
      <c r="AG113">
        <v>1</v>
      </c>
      <c r="AH113">
        <f t="shared" si="3"/>
        <v>16</v>
      </c>
    </row>
    <row r="114" spans="2:34" ht="15.75" thickBot="1" x14ac:dyDescent="0.3">
      <c r="B114" s="17" t="s">
        <v>124</v>
      </c>
      <c r="C114" s="7" t="s">
        <v>133</v>
      </c>
      <c r="D114" s="7"/>
      <c r="E114" s="43">
        <v>36947</v>
      </c>
      <c r="F114" s="8">
        <f t="shared" ca="1" si="2"/>
        <v>23.235616438356164</v>
      </c>
      <c r="G114" s="7" t="s">
        <v>38</v>
      </c>
      <c r="H114" s="19">
        <v>1</v>
      </c>
      <c r="I114" s="19"/>
      <c r="J114" s="19"/>
      <c r="K114" s="19"/>
      <c r="L114">
        <v>1</v>
      </c>
      <c r="N114">
        <v>1</v>
      </c>
      <c r="O114">
        <v>1</v>
      </c>
      <c r="P114">
        <v>1</v>
      </c>
      <c r="Q114">
        <v>1</v>
      </c>
      <c r="R114">
        <v>1</v>
      </c>
      <c r="S114">
        <v>1</v>
      </c>
      <c r="T114">
        <v>1</v>
      </c>
      <c r="U114">
        <v>1</v>
      </c>
      <c r="V114">
        <v>1</v>
      </c>
      <c r="X114">
        <v>1</v>
      </c>
      <c r="Z114">
        <v>1</v>
      </c>
      <c r="AB114">
        <v>1</v>
      </c>
      <c r="AC114">
        <v>1</v>
      </c>
      <c r="AD114">
        <v>1</v>
      </c>
      <c r="AH114">
        <f t="shared" si="3"/>
        <v>15</v>
      </c>
    </row>
    <row r="115" spans="2:34" ht="15.75" thickBot="1" x14ac:dyDescent="0.3">
      <c r="B115" s="17" t="s">
        <v>124</v>
      </c>
      <c r="C115" s="7" t="s">
        <v>134</v>
      </c>
      <c r="D115" s="7"/>
      <c r="E115" s="43">
        <v>31999</v>
      </c>
      <c r="F115" s="8">
        <f t="shared" ca="1" si="2"/>
        <v>36.791780821917811</v>
      </c>
      <c r="G115" s="7" t="s">
        <v>38</v>
      </c>
      <c r="H115" s="44">
        <v>1</v>
      </c>
      <c r="I115" s="44"/>
      <c r="J115" s="19"/>
      <c r="K115" s="19"/>
      <c r="L115">
        <v>1</v>
      </c>
      <c r="N115">
        <v>1</v>
      </c>
      <c r="O115">
        <v>1</v>
      </c>
      <c r="P115">
        <v>1</v>
      </c>
      <c r="Q115">
        <v>1</v>
      </c>
      <c r="R115">
        <v>1</v>
      </c>
      <c r="S115">
        <v>1</v>
      </c>
      <c r="T115">
        <v>1</v>
      </c>
      <c r="U115">
        <v>1</v>
      </c>
      <c r="V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H115">
        <f t="shared" si="3"/>
        <v>16</v>
      </c>
    </row>
    <row r="116" spans="2:34" ht="15.75" thickBot="1" x14ac:dyDescent="0.3">
      <c r="B116" s="17" t="s">
        <v>124</v>
      </c>
      <c r="C116" s="9" t="s">
        <v>135</v>
      </c>
      <c r="D116" s="9"/>
      <c r="E116" s="43">
        <v>36088</v>
      </c>
      <c r="F116" s="8">
        <f t="shared" ca="1" si="2"/>
        <v>25.589041095890412</v>
      </c>
      <c r="G116" s="9" t="s">
        <v>136</v>
      </c>
      <c r="H116" s="19">
        <v>1</v>
      </c>
      <c r="I116" s="19"/>
      <c r="J116" s="19"/>
      <c r="K116" s="44"/>
      <c r="Q116">
        <v>1</v>
      </c>
      <c r="R116">
        <v>1</v>
      </c>
      <c r="S116">
        <v>1</v>
      </c>
      <c r="T116">
        <v>1</v>
      </c>
      <c r="U116">
        <v>1</v>
      </c>
      <c r="V116">
        <v>1</v>
      </c>
      <c r="X116">
        <v>1</v>
      </c>
      <c r="Y116">
        <v>1</v>
      </c>
      <c r="Z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>
        <v>1</v>
      </c>
      <c r="AH116">
        <f t="shared" si="3"/>
        <v>15</v>
      </c>
    </row>
    <row r="117" spans="2:34" ht="15.75" thickBot="1" x14ac:dyDescent="0.3">
      <c r="B117" s="17" t="s">
        <v>124</v>
      </c>
      <c r="C117" s="7" t="s">
        <v>137</v>
      </c>
      <c r="D117" s="7"/>
      <c r="E117" s="43">
        <v>36112</v>
      </c>
      <c r="F117" s="8">
        <f t="shared" ca="1" si="2"/>
        <v>25.523287671232875</v>
      </c>
      <c r="G117" s="7" t="s">
        <v>138</v>
      </c>
      <c r="H117" s="44"/>
      <c r="I117" s="44"/>
      <c r="J117" s="19"/>
      <c r="K117" s="19"/>
      <c r="L117">
        <v>1</v>
      </c>
      <c r="N117">
        <v>1</v>
      </c>
      <c r="O117">
        <v>1</v>
      </c>
      <c r="R117">
        <v>1</v>
      </c>
      <c r="U117">
        <v>1</v>
      </c>
      <c r="V117">
        <v>1</v>
      </c>
      <c r="X117">
        <v>1</v>
      </c>
      <c r="Y117">
        <v>1</v>
      </c>
      <c r="Z117" s="12">
        <v>1</v>
      </c>
      <c r="AA117" s="12">
        <v>1</v>
      </c>
      <c r="AC117">
        <v>1</v>
      </c>
      <c r="AE117">
        <v>1</v>
      </c>
      <c r="AF117">
        <v>1</v>
      </c>
      <c r="AG117">
        <v>1</v>
      </c>
      <c r="AH117">
        <f t="shared" si="3"/>
        <v>14</v>
      </c>
    </row>
    <row r="118" spans="2:34" ht="15.75" thickBot="1" x14ac:dyDescent="0.3">
      <c r="B118" s="17" t="s">
        <v>124</v>
      </c>
      <c r="C118" s="9" t="s">
        <v>139</v>
      </c>
      <c r="D118" s="9"/>
      <c r="E118" s="43">
        <v>35615</v>
      </c>
      <c r="F118" s="8">
        <f t="shared" ca="1" si="2"/>
        <v>26.884931506849316</v>
      </c>
      <c r="G118" s="9" t="s">
        <v>38</v>
      </c>
      <c r="H118" s="44"/>
      <c r="I118" s="44"/>
      <c r="J118" s="19"/>
      <c r="K118" s="19"/>
      <c r="X118">
        <v>1</v>
      </c>
      <c r="Y118">
        <v>1</v>
      </c>
      <c r="AH118">
        <f t="shared" si="3"/>
        <v>2</v>
      </c>
    </row>
    <row r="119" spans="2:34" ht="15.75" thickBot="1" x14ac:dyDescent="0.3">
      <c r="B119" s="17" t="s">
        <v>124</v>
      </c>
      <c r="C119" s="9" t="s">
        <v>140</v>
      </c>
      <c r="D119" s="9"/>
      <c r="E119" s="43">
        <v>32712</v>
      </c>
      <c r="F119" s="8">
        <f t="shared" ca="1" si="2"/>
        <v>34.838356164383562</v>
      </c>
      <c r="G119" s="9" t="s">
        <v>136</v>
      </c>
      <c r="H119" s="19">
        <v>1</v>
      </c>
      <c r="I119" s="19"/>
      <c r="J119" s="19"/>
      <c r="K119" s="19"/>
      <c r="L119">
        <v>1</v>
      </c>
      <c r="P119">
        <v>1</v>
      </c>
      <c r="Q119">
        <v>1</v>
      </c>
      <c r="S119">
        <v>1</v>
      </c>
      <c r="T119">
        <v>1</v>
      </c>
      <c r="X119">
        <v>1</v>
      </c>
      <c r="Z119">
        <v>1</v>
      </c>
      <c r="AA119" s="12">
        <v>1</v>
      </c>
      <c r="AB119">
        <v>1</v>
      </c>
      <c r="AC119">
        <v>1</v>
      </c>
      <c r="AD119">
        <v>1</v>
      </c>
      <c r="AE119">
        <v>1</v>
      </c>
      <c r="AH119">
        <f t="shared" si="3"/>
        <v>12</v>
      </c>
    </row>
    <row r="120" spans="2:34" ht="15.75" thickBot="1" x14ac:dyDescent="0.3">
      <c r="B120" s="17" t="s">
        <v>124</v>
      </c>
      <c r="C120" s="14" t="s">
        <v>141</v>
      </c>
      <c r="D120" s="14"/>
      <c r="E120" s="43">
        <v>35522</v>
      </c>
      <c r="F120" s="8">
        <f t="shared" ca="1" si="2"/>
        <v>27.139726027397259</v>
      </c>
      <c r="G120" s="9" t="s">
        <v>41</v>
      </c>
      <c r="H120" s="19"/>
      <c r="I120" s="19"/>
      <c r="J120" s="19"/>
      <c r="K120" s="19"/>
      <c r="Z120">
        <v>1</v>
      </c>
      <c r="AH120">
        <f t="shared" si="3"/>
        <v>1</v>
      </c>
    </row>
    <row r="121" spans="2:34" ht="15.75" thickBot="1" x14ac:dyDescent="0.3">
      <c r="B121" s="17" t="s">
        <v>124</v>
      </c>
      <c r="C121" s="14" t="s">
        <v>142</v>
      </c>
      <c r="D121" s="14"/>
      <c r="E121" s="43">
        <v>33920</v>
      </c>
      <c r="F121" s="8">
        <f t="shared" ca="1" si="2"/>
        <v>31.528767123287672</v>
      </c>
      <c r="G121" s="9" t="s">
        <v>41</v>
      </c>
      <c r="H121" s="19"/>
      <c r="I121" s="19"/>
      <c r="J121" s="19"/>
      <c r="K121" s="19"/>
      <c r="L121">
        <v>1</v>
      </c>
      <c r="N121">
        <v>1</v>
      </c>
      <c r="O121">
        <v>1</v>
      </c>
      <c r="P121">
        <v>1</v>
      </c>
      <c r="Q121">
        <v>1</v>
      </c>
      <c r="AH121">
        <f t="shared" si="3"/>
        <v>5</v>
      </c>
    </row>
    <row r="122" spans="2:34" ht="15.75" thickBot="1" x14ac:dyDescent="0.3">
      <c r="B122" s="17" t="s">
        <v>124</v>
      </c>
      <c r="C122" s="10" t="s">
        <v>143</v>
      </c>
      <c r="D122" s="10"/>
      <c r="E122" s="43">
        <v>31868</v>
      </c>
      <c r="F122" s="8">
        <f t="shared" ca="1" si="2"/>
        <v>37.150684931506852</v>
      </c>
      <c r="G122" s="7" t="s">
        <v>41</v>
      </c>
      <c r="H122" s="44"/>
      <c r="I122" s="44"/>
      <c r="J122" s="19"/>
      <c r="K122" s="19"/>
      <c r="L122">
        <v>1</v>
      </c>
      <c r="N122">
        <v>1</v>
      </c>
      <c r="O122">
        <v>1</v>
      </c>
      <c r="P122">
        <v>1</v>
      </c>
      <c r="Q122">
        <v>1</v>
      </c>
      <c r="S122">
        <v>1</v>
      </c>
      <c r="U122">
        <v>1</v>
      </c>
      <c r="V122">
        <v>1</v>
      </c>
      <c r="X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>
        <v>1</v>
      </c>
      <c r="AH122">
        <f t="shared" si="3"/>
        <v>17</v>
      </c>
    </row>
    <row r="123" spans="2:34" ht="15.75" thickBot="1" x14ac:dyDescent="0.3">
      <c r="B123" s="17" t="s">
        <v>124</v>
      </c>
      <c r="C123" s="14" t="s">
        <v>144</v>
      </c>
      <c r="D123" s="14"/>
      <c r="E123" s="43">
        <v>38540</v>
      </c>
      <c r="F123" s="8">
        <f t="shared" ca="1" si="2"/>
        <v>18.87123287671233</v>
      </c>
      <c r="G123" s="9" t="s">
        <v>38</v>
      </c>
      <c r="H123" s="44"/>
      <c r="I123" s="44"/>
      <c r="J123" s="19"/>
      <c r="K123" s="19"/>
      <c r="X123">
        <v>1</v>
      </c>
      <c r="AH123">
        <f t="shared" si="3"/>
        <v>1</v>
      </c>
    </row>
    <row r="124" spans="2:34" ht="15.75" thickBot="1" x14ac:dyDescent="0.3">
      <c r="B124" s="17" t="s">
        <v>124</v>
      </c>
      <c r="C124" s="10" t="s">
        <v>145</v>
      </c>
      <c r="D124" s="10"/>
      <c r="E124" s="43">
        <v>32606</v>
      </c>
      <c r="F124" s="8">
        <f t="shared" ca="1" si="2"/>
        <v>35.128767123287673</v>
      </c>
      <c r="G124" s="7" t="s">
        <v>38</v>
      </c>
      <c r="H124" s="19"/>
      <c r="I124" s="19"/>
      <c r="J124" s="19"/>
      <c r="K124" s="19"/>
      <c r="L124">
        <v>1</v>
      </c>
      <c r="N124">
        <v>1</v>
      </c>
      <c r="O124">
        <v>1</v>
      </c>
      <c r="P124">
        <v>1</v>
      </c>
      <c r="Q124">
        <v>1</v>
      </c>
      <c r="R124">
        <v>1</v>
      </c>
      <c r="T124">
        <v>1</v>
      </c>
      <c r="U124">
        <v>1</v>
      </c>
      <c r="V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F124">
        <v>1</v>
      </c>
      <c r="AH124">
        <f t="shared" si="3"/>
        <v>17</v>
      </c>
    </row>
    <row r="125" spans="2:34" ht="15.75" thickBot="1" x14ac:dyDescent="0.3">
      <c r="B125" s="17" t="s">
        <v>124</v>
      </c>
      <c r="C125" s="14" t="s">
        <v>146</v>
      </c>
      <c r="D125" s="14"/>
      <c r="E125" s="43">
        <v>36178</v>
      </c>
      <c r="F125" s="8">
        <f t="shared" ca="1" si="2"/>
        <v>25.342465753424658</v>
      </c>
      <c r="G125" s="7" t="s">
        <v>38</v>
      </c>
      <c r="H125" s="19"/>
      <c r="I125" s="19"/>
      <c r="J125" s="19"/>
      <c r="K125" s="19"/>
      <c r="L125">
        <v>1</v>
      </c>
      <c r="N125">
        <v>1</v>
      </c>
      <c r="O125">
        <v>1</v>
      </c>
      <c r="P125">
        <v>1</v>
      </c>
      <c r="Q125">
        <v>1</v>
      </c>
      <c r="R125">
        <v>1</v>
      </c>
      <c r="T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H125">
        <f t="shared" si="3"/>
        <v>14</v>
      </c>
    </row>
    <row r="126" spans="2:34" ht="15.75" thickBot="1" x14ac:dyDescent="0.3">
      <c r="B126" s="17" t="s">
        <v>124</v>
      </c>
      <c r="C126" s="14" t="s">
        <v>147</v>
      </c>
      <c r="D126" s="14"/>
      <c r="E126" s="43">
        <v>35384</v>
      </c>
      <c r="F126" s="8">
        <f t="shared" ca="1" si="2"/>
        <v>27.517808219178082</v>
      </c>
      <c r="G126" s="7" t="s">
        <v>148</v>
      </c>
      <c r="H126" s="19"/>
      <c r="I126" s="19"/>
      <c r="J126" s="19"/>
      <c r="K126" s="19"/>
      <c r="N126">
        <v>1</v>
      </c>
      <c r="O126">
        <v>1</v>
      </c>
      <c r="P126">
        <v>1</v>
      </c>
      <c r="Q126">
        <v>1</v>
      </c>
      <c r="R126">
        <v>1</v>
      </c>
      <c r="S126">
        <v>1</v>
      </c>
      <c r="T126">
        <v>1</v>
      </c>
      <c r="Z126">
        <v>1</v>
      </c>
      <c r="AA126">
        <v>1</v>
      </c>
      <c r="AB126">
        <v>1</v>
      </c>
      <c r="AD126">
        <v>1</v>
      </c>
      <c r="AE126">
        <v>1</v>
      </c>
      <c r="AF126">
        <v>1</v>
      </c>
      <c r="AG126">
        <v>1</v>
      </c>
      <c r="AH126">
        <f t="shared" si="3"/>
        <v>14</v>
      </c>
    </row>
    <row r="127" spans="2:34" ht="15.75" thickBot="1" x14ac:dyDescent="0.3">
      <c r="B127" s="17" t="s">
        <v>124</v>
      </c>
      <c r="C127" s="10" t="s">
        <v>149</v>
      </c>
      <c r="D127" s="10"/>
      <c r="E127" s="43">
        <v>34036</v>
      </c>
      <c r="F127" s="8">
        <f t="shared" ca="1" si="2"/>
        <v>31.210958904109589</v>
      </c>
      <c r="G127" s="7" t="s">
        <v>41</v>
      </c>
      <c r="H127" s="19"/>
      <c r="I127" s="19"/>
      <c r="J127" s="19"/>
      <c r="K127" s="19"/>
      <c r="L127">
        <v>1</v>
      </c>
      <c r="N127">
        <v>1</v>
      </c>
      <c r="O127">
        <v>1</v>
      </c>
      <c r="P127">
        <v>1</v>
      </c>
      <c r="Q127">
        <v>1</v>
      </c>
      <c r="R127">
        <v>1</v>
      </c>
      <c r="AH127">
        <f t="shared" si="3"/>
        <v>6</v>
      </c>
    </row>
    <row r="128" spans="2:34" ht="15.75" thickBot="1" x14ac:dyDescent="0.3">
      <c r="B128" s="18" t="s">
        <v>150</v>
      </c>
      <c r="C128" s="7" t="s">
        <v>151</v>
      </c>
      <c r="D128" s="7"/>
      <c r="E128" s="43">
        <v>32641</v>
      </c>
      <c r="F128" s="8">
        <f t="shared" ca="1" si="2"/>
        <v>35.032876712328765</v>
      </c>
      <c r="G128" s="7" t="s">
        <v>38</v>
      </c>
      <c r="H128" s="19"/>
      <c r="I128" s="19"/>
      <c r="J128" s="19"/>
      <c r="K128" s="19"/>
      <c r="P128">
        <v>1</v>
      </c>
      <c r="Q128">
        <v>1</v>
      </c>
      <c r="R128">
        <v>1</v>
      </c>
      <c r="S128">
        <v>1</v>
      </c>
      <c r="T128">
        <v>1</v>
      </c>
      <c r="U128">
        <v>1</v>
      </c>
      <c r="V128">
        <v>1</v>
      </c>
      <c r="W128">
        <v>1</v>
      </c>
      <c r="X128">
        <v>1</v>
      </c>
      <c r="Y128">
        <v>1</v>
      </c>
      <c r="Z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H128">
        <f t="shared" si="3"/>
        <v>16</v>
      </c>
    </row>
    <row r="129" spans="2:34" ht="15.75" thickBot="1" x14ac:dyDescent="0.3">
      <c r="B129" s="18" t="s">
        <v>150</v>
      </c>
      <c r="C129" s="9" t="s">
        <v>152</v>
      </c>
      <c r="D129" s="9"/>
      <c r="E129" s="43">
        <v>35831</v>
      </c>
      <c r="F129" s="8">
        <f t="shared" ca="1" si="2"/>
        <v>26.293150684931508</v>
      </c>
      <c r="G129" s="7" t="s">
        <v>131</v>
      </c>
      <c r="H129" s="44"/>
      <c r="I129" s="44"/>
      <c r="J129" s="19"/>
      <c r="K129" s="19"/>
      <c r="S129">
        <v>1</v>
      </c>
      <c r="U129">
        <v>1</v>
      </c>
      <c r="V129">
        <v>1</v>
      </c>
      <c r="W129">
        <v>1</v>
      </c>
      <c r="AH129">
        <f t="shared" si="3"/>
        <v>4</v>
      </c>
    </row>
    <row r="130" spans="2:34" ht="15.75" thickBot="1" x14ac:dyDescent="0.3">
      <c r="B130" s="18" t="s">
        <v>150</v>
      </c>
      <c r="C130" s="9" t="s">
        <v>153</v>
      </c>
      <c r="D130" s="9"/>
      <c r="E130" s="43">
        <v>34306</v>
      </c>
      <c r="F130" s="8">
        <f t="shared" ca="1" si="2"/>
        <v>30.471232876712328</v>
      </c>
      <c r="G130" s="7" t="s">
        <v>38</v>
      </c>
      <c r="H130" s="19"/>
      <c r="I130" s="19"/>
      <c r="J130" s="19"/>
      <c r="K130" s="19"/>
      <c r="M130">
        <v>1</v>
      </c>
      <c r="N130">
        <v>1</v>
      </c>
      <c r="P130">
        <v>1</v>
      </c>
      <c r="Q130">
        <v>1</v>
      </c>
      <c r="R130">
        <v>1</v>
      </c>
      <c r="S130">
        <v>1</v>
      </c>
      <c r="T130">
        <v>1</v>
      </c>
      <c r="U130">
        <v>1</v>
      </c>
      <c r="V130">
        <v>1</v>
      </c>
      <c r="W130">
        <v>1</v>
      </c>
      <c r="X130">
        <v>1</v>
      </c>
      <c r="Z130" s="12">
        <v>1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H130">
        <f t="shared" si="3"/>
        <v>18</v>
      </c>
    </row>
    <row r="131" spans="2:34" ht="15.75" thickBot="1" x14ac:dyDescent="0.3">
      <c r="B131" s="18" t="s">
        <v>150</v>
      </c>
      <c r="C131" s="9" t="s">
        <v>154</v>
      </c>
      <c r="D131" s="9"/>
      <c r="E131" s="43">
        <v>34107</v>
      </c>
      <c r="F131" s="8">
        <f t="shared" ref="F131:F194" ca="1" si="4">IFERROR(((TODAY()-E131)/365),"")</f>
        <v>31.016438356164382</v>
      </c>
      <c r="G131" s="7" t="s">
        <v>38</v>
      </c>
      <c r="H131" s="19"/>
      <c r="I131" s="19"/>
      <c r="J131" s="19"/>
      <c r="K131" s="19"/>
      <c r="M131">
        <v>1</v>
      </c>
      <c r="N131">
        <v>1</v>
      </c>
      <c r="P131">
        <v>1</v>
      </c>
      <c r="Q131">
        <v>1</v>
      </c>
      <c r="R131">
        <v>1</v>
      </c>
      <c r="S131">
        <v>1</v>
      </c>
      <c r="T131">
        <v>1</v>
      </c>
      <c r="U131">
        <v>1</v>
      </c>
      <c r="V131">
        <v>1</v>
      </c>
      <c r="W131">
        <v>1</v>
      </c>
      <c r="X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H131">
        <f t="shared" si="3"/>
        <v>18</v>
      </c>
    </row>
    <row r="132" spans="2:34" ht="15.75" thickBot="1" x14ac:dyDescent="0.3">
      <c r="B132" s="18" t="s">
        <v>150</v>
      </c>
      <c r="C132" s="9" t="s">
        <v>155</v>
      </c>
      <c r="D132" s="9"/>
      <c r="E132" s="43">
        <v>36647</v>
      </c>
      <c r="F132" s="8">
        <f t="shared" ca="1" si="4"/>
        <v>24.057534246575344</v>
      </c>
      <c r="G132" s="7" t="s">
        <v>38</v>
      </c>
      <c r="H132" s="19"/>
      <c r="I132" s="19"/>
      <c r="J132" s="19"/>
      <c r="K132" s="19"/>
      <c r="M132">
        <v>1</v>
      </c>
      <c r="AH132">
        <f t="shared" ref="AH132:AH195" si="5">SUM(L132:AG132)</f>
        <v>1</v>
      </c>
    </row>
    <row r="133" spans="2:34" ht="15.75" thickBot="1" x14ac:dyDescent="0.3">
      <c r="B133" s="18" t="s">
        <v>150</v>
      </c>
      <c r="C133" s="9" t="s">
        <v>156</v>
      </c>
      <c r="D133" s="9"/>
      <c r="E133" s="43">
        <v>33005</v>
      </c>
      <c r="F133" s="8">
        <f t="shared" ca="1" si="4"/>
        <v>34.035616438356165</v>
      </c>
      <c r="G133" s="7" t="s">
        <v>38</v>
      </c>
      <c r="H133" s="44"/>
      <c r="I133" s="44"/>
      <c r="J133" s="19"/>
      <c r="K133" s="19"/>
      <c r="W133">
        <v>1</v>
      </c>
      <c r="X133">
        <v>1</v>
      </c>
      <c r="Y133">
        <v>1</v>
      </c>
      <c r="Z133">
        <v>1</v>
      </c>
      <c r="AB133">
        <v>1</v>
      </c>
      <c r="AC133">
        <v>1</v>
      </c>
      <c r="AH133">
        <f t="shared" si="5"/>
        <v>6</v>
      </c>
    </row>
    <row r="134" spans="2:34" ht="15.75" thickBot="1" x14ac:dyDescent="0.3">
      <c r="B134" s="18" t="s">
        <v>150</v>
      </c>
      <c r="C134" s="9" t="s">
        <v>157</v>
      </c>
      <c r="D134" s="9"/>
      <c r="E134" s="43">
        <v>37506</v>
      </c>
      <c r="F134" s="8">
        <f t="shared" ca="1" si="4"/>
        <v>21.704109589041096</v>
      </c>
      <c r="G134" s="7" t="s">
        <v>38</v>
      </c>
      <c r="H134" s="44"/>
      <c r="I134" s="44"/>
      <c r="J134" s="19"/>
      <c r="K134" s="19"/>
      <c r="AA134" s="12">
        <v>1</v>
      </c>
      <c r="AH134">
        <f t="shared" si="5"/>
        <v>1</v>
      </c>
    </row>
    <row r="135" spans="2:34" ht="15.75" thickBot="1" x14ac:dyDescent="0.3">
      <c r="B135" s="18" t="s">
        <v>150</v>
      </c>
      <c r="C135" s="9" t="s">
        <v>158</v>
      </c>
      <c r="D135" s="9"/>
      <c r="E135" s="43">
        <v>37065</v>
      </c>
      <c r="F135" s="8">
        <f t="shared" ca="1" si="4"/>
        <v>22.912328767123288</v>
      </c>
      <c r="G135" s="7" t="s">
        <v>38</v>
      </c>
      <c r="H135" s="44"/>
      <c r="I135" s="44"/>
      <c r="J135" s="19"/>
      <c r="K135" s="19"/>
      <c r="AA135" s="12">
        <v>1</v>
      </c>
      <c r="AH135">
        <f t="shared" si="5"/>
        <v>1</v>
      </c>
    </row>
    <row r="136" spans="2:34" ht="15.75" thickBot="1" x14ac:dyDescent="0.3">
      <c r="B136" s="18" t="s">
        <v>150</v>
      </c>
      <c r="C136" s="9" t="s">
        <v>159</v>
      </c>
      <c r="D136" s="9"/>
      <c r="E136" s="43" t="s">
        <v>160</v>
      </c>
      <c r="F136" s="8" t="str">
        <f t="shared" ca="1" si="4"/>
        <v/>
      </c>
      <c r="G136" s="7" t="s">
        <v>38</v>
      </c>
      <c r="H136" s="44"/>
      <c r="I136" s="44"/>
      <c r="J136" s="19"/>
      <c r="K136" s="19"/>
      <c r="N136">
        <v>1</v>
      </c>
      <c r="O136">
        <v>1</v>
      </c>
      <c r="P136">
        <v>1</v>
      </c>
      <c r="Q136">
        <v>1</v>
      </c>
      <c r="R136">
        <v>1</v>
      </c>
      <c r="S136">
        <v>1</v>
      </c>
      <c r="T136">
        <v>1</v>
      </c>
      <c r="U136">
        <v>1</v>
      </c>
      <c r="V136">
        <v>1</v>
      </c>
      <c r="W136">
        <v>1</v>
      </c>
      <c r="AC136">
        <v>1</v>
      </c>
      <c r="AD136">
        <v>1</v>
      </c>
      <c r="AE136">
        <v>1</v>
      </c>
      <c r="AF136">
        <v>1</v>
      </c>
      <c r="AH136">
        <f t="shared" si="5"/>
        <v>14</v>
      </c>
    </row>
    <row r="137" spans="2:34" ht="15.75" thickBot="1" x14ac:dyDescent="0.3">
      <c r="B137" s="18" t="s">
        <v>150</v>
      </c>
      <c r="C137" s="9" t="s">
        <v>161</v>
      </c>
      <c r="D137" s="9"/>
      <c r="E137" s="43">
        <v>34437</v>
      </c>
      <c r="F137" s="8">
        <f t="shared" ca="1" si="4"/>
        <v>30.112328767123287</v>
      </c>
      <c r="G137" s="7" t="s">
        <v>38</v>
      </c>
      <c r="H137" s="44"/>
      <c r="I137" s="44"/>
      <c r="J137" s="19"/>
      <c r="K137" s="19"/>
      <c r="Q137">
        <v>1</v>
      </c>
      <c r="R137">
        <v>1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1</v>
      </c>
      <c r="Y137">
        <v>1</v>
      </c>
      <c r="Z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H137">
        <f t="shared" si="5"/>
        <v>15</v>
      </c>
    </row>
    <row r="138" spans="2:34" ht="15.75" thickBot="1" x14ac:dyDescent="0.3">
      <c r="B138" s="18" t="s">
        <v>150</v>
      </c>
      <c r="C138" s="9" t="s">
        <v>162</v>
      </c>
      <c r="D138" s="9"/>
      <c r="E138" s="43">
        <v>36199</v>
      </c>
      <c r="F138" s="8">
        <f t="shared" ca="1" si="4"/>
        <v>25.284931506849315</v>
      </c>
      <c r="G138" s="7" t="s">
        <v>38</v>
      </c>
      <c r="H138" s="44"/>
      <c r="I138" s="44"/>
      <c r="J138" s="19"/>
      <c r="K138" s="19"/>
      <c r="Y138">
        <v>1</v>
      </c>
      <c r="AH138">
        <f t="shared" si="5"/>
        <v>1</v>
      </c>
    </row>
    <row r="139" spans="2:34" ht="15.75" thickBot="1" x14ac:dyDescent="0.3">
      <c r="B139" s="18" t="s">
        <v>150</v>
      </c>
      <c r="C139" s="9" t="s">
        <v>163</v>
      </c>
      <c r="D139" s="9"/>
      <c r="E139" s="43">
        <v>33693</v>
      </c>
      <c r="F139" s="8">
        <f t="shared" ca="1" si="4"/>
        <v>32.150684931506852</v>
      </c>
      <c r="G139" s="7" t="s">
        <v>50</v>
      </c>
      <c r="H139" s="44">
        <v>1</v>
      </c>
      <c r="I139" s="44"/>
      <c r="J139" s="19"/>
      <c r="K139" s="19"/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H139">
        <f t="shared" si="5"/>
        <v>9</v>
      </c>
    </row>
    <row r="140" spans="2:34" ht="15.75" thickBot="1" x14ac:dyDescent="0.3">
      <c r="B140" s="18" t="s">
        <v>150</v>
      </c>
      <c r="C140" s="14" t="s">
        <v>164</v>
      </c>
      <c r="D140" s="14"/>
      <c r="E140" s="43">
        <v>35231</v>
      </c>
      <c r="F140" s="8">
        <f t="shared" ca="1" si="4"/>
        <v>27.936986301369863</v>
      </c>
      <c r="G140" s="7" t="s">
        <v>38</v>
      </c>
      <c r="H140" s="19"/>
      <c r="I140" s="19"/>
      <c r="J140" s="19"/>
      <c r="K140" s="19"/>
      <c r="M140">
        <v>1</v>
      </c>
      <c r="N140">
        <v>1</v>
      </c>
      <c r="O140">
        <v>1</v>
      </c>
      <c r="P140">
        <v>1</v>
      </c>
      <c r="Q140">
        <v>1</v>
      </c>
      <c r="R140">
        <v>1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F140">
        <v>1</v>
      </c>
      <c r="AH140">
        <f t="shared" si="5"/>
        <v>15</v>
      </c>
    </row>
    <row r="141" spans="2:34" ht="15.75" thickBot="1" x14ac:dyDescent="0.3">
      <c r="B141" s="18" t="s">
        <v>150</v>
      </c>
      <c r="C141" s="14" t="s">
        <v>165</v>
      </c>
      <c r="D141" s="14"/>
      <c r="E141" s="43">
        <v>34689</v>
      </c>
      <c r="F141" s="8">
        <f t="shared" ca="1" si="4"/>
        <v>29.421917808219177</v>
      </c>
      <c r="G141" s="7" t="s">
        <v>38</v>
      </c>
      <c r="H141" s="19"/>
      <c r="I141" s="19"/>
      <c r="J141" s="19"/>
      <c r="K141" s="19"/>
      <c r="M141">
        <v>1</v>
      </c>
      <c r="N141">
        <v>1</v>
      </c>
      <c r="O141">
        <v>1</v>
      </c>
      <c r="P141">
        <v>1</v>
      </c>
      <c r="Q141">
        <v>1</v>
      </c>
      <c r="R141">
        <v>1</v>
      </c>
      <c r="S141">
        <v>1</v>
      </c>
      <c r="T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E141">
        <v>1</v>
      </c>
      <c r="AH141">
        <f t="shared" si="5"/>
        <v>17</v>
      </c>
    </row>
    <row r="142" spans="2:34" ht="15.75" thickBot="1" x14ac:dyDescent="0.3">
      <c r="B142" s="18" t="s">
        <v>150</v>
      </c>
      <c r="C142" s="14" t="s">
        <v>166</v>
      </c>
      <c r="D142" s="14"/>
      <c r="E142" s="43">
        <v>35930</v>
      </c>
      <c r="F142" s="8">
        <f t="shared" ca="1" si="4"/>
        <v>26.021917808219179</v>
      </c>
      <c r="G142" s="7" t="s">
        <v>38</v>
      </c>
      <c r="H142" s="44"/>
      <c r="I142" s="44"/>
      <c r="J142" s="19"/>
      <c r="K142" s="19"/>
      <c r="Y142">
        <v>1</v>
      </c>
      <c r="Z142">
        <v>1</v>
      </c>
      <c r="AB142">
        <v>1</v>
      </c>
      <c r="AC142">
        <v>1</v>
      </c>
      <c r="AH142">
        <f t="shared" si="5"/>
        <v>4</v>
      </c>
    </row>
    <row r="143" spans="2:34" ht="15.75" thickBot="1" x14ac:dyDescent="0.3">
      <c r="B143" s="18" t="s">
        <v>150</v>
      </c>
      <c r="C143" s="14" t="s">
        <v>167</v>
      </c>
      <c r="D143" s="14"/>
      <c r="E143" s="43">
        <v>34350</v>
      </c>
      <c r="F143" s="8">
        <f t="shared" ca="1" si="4"/>
        <v>30.350684931506848</v>
      </c>
      <c r="G143" s="7" t="s">
        <v>38</v>
      </c>
      <c r="H143" s="19"/>
      <c r="I143" s="19"/>
      <c r="J143" s="19"/>
      <c r="K143" s="19"/>
      <c r="M143">
        <v>1</v>
      </c>
      <c r="N143">
        <v>1</v>
      </c>
      <c r="O143">
        <v>1</v>
      </c>
      <c r="P143">
        <v>1</v>
      </c>
      <c r="S143">
        <v>1</v>
      </c>
      <c r="T143">
        <v>1</v>
      </c>
      <c r="U143">
        <v>1</v>
      </c>
      <c r="V143">
        <v>1</v>
      </c>
      <c r="X143">
        <v>1</v>
      </c>
      <c r="AA143">
        <v>1</v>
      </c>
      <c r="AC143">
        <v>1</v>
      </c>
      <c r="AD143">
        <v>1</v>
      </c>
      <c r="AE143">
        <v>1</v>
      </c>
      <c r="AF143">
        <v>1</v>
      </c>
      <c r="AH143">
        <f t="shared" si="5"/>
        <v>14</v>
      </c>
    </row>
    <row r="144" spans="2:34" ht="15.75" thickBot="1" x14ac:dyDescent="0.3">
      <c r="B144" s="18" t="s">
        <v>150</v>
      </c>
      <c r="C144" s="14" t="s">
        <v>168</v>
      </c>
      <c r="D144" s="14"/>
      <c r="E144" s="43">
        <v>33039</v>
      </c>
      <c r="F144" s="8">
        <f t="shared" ca="1" si="4"/>
        <v>33.942465753424656</v>
      </c>
      <c r="G144" s="7" t="s">
        <v>38</v>
      </c>
      <c r="H144" s="19"/>
      <c r="I144" s="19"/>
      <c r="J144" s="19"/>
      <c r="K144" s="19"/>
      <c r="M144">
        <v>1</v>
      </c>
      <c r="N144">
        <v>1</v>
      </c>
      <c r="O144">
        <v>1</v>
      </c>
      <c r="P144">
        <v>1</v>
      </c>
      <c r="Q144">
        <v>1</v>
      </c>
      <c r="R144">
        <v>1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H144">
        <f t="shared" si="5"/>
        <v>20</v>
      </c>
    </row>
    <row r="145" spans="2:34" ht="15.75" thickBot="1" x14ac:dyDescent="0.3">
      <c r="B145" s="18" t="s">
        <v>150</v>
      </c>
      <c r="C145" s="14" t="s">
        <v>169</v>
      </c>
      <c r="D145" s="14"/>
      <c r="E145" s="43">
        <v>37004</v>
      </c>
      <c r="F145" s="8">
        <f t="shared" ca="1" si="4"/>
        <v>23.079452054794519</v>
      </c>
      <c r="G145" s="7" t="s">
        <v>38</v>
      </c>
      <c r="H145" s="19">
        <v>1</v>
      </c>
      <c r="I145" s="19"/>
      <c r="J145" s="19"/>
      <c r="K145" s="19"/>
      <c r="M145">
        <v>1</v>
      </c>
      <c r="N145">
        <v>1</v>
      </c>
      <c r="O145">
        <v>1</v>
      </c>
      <c r="P145">
        <v>1</v>
      </c>
      <c r="Q145">
        <v>1</v>
      </c>
      <c r="R145">
        <v>1</v>
      </c>
      <c r="S145">
        <v>1</v>
      </c>
      <c r="T145">
        <v>1</v>
      </c>
      <c r="W145">
        <v>1</v>
      </c>
      <c r="X145">
        <v>1</v>
      </c>
      <c r="Y145">
        <v>1</v>
      </c>
      <c r="AA145">
        <v>1</v>
      </c>
      <c r="AD145">
        <v>1</v>
      </c>
      <c r="AE145">
        <v>1</v>
      </c>
      <c r="AF145">
        <v>1</v>
      </c>
      <c r="AH145">
        <f t="shared" si="5"/>
        <v>15</v>
      </c>
    </row>
    <row r="146" spans="2:34" ht="15.75" thickBot="1" x14ac:dyDescent="0.3">
      <c r="B146" s="18" t="s">
        <v>150</v>
      </c>
      <c r="C146" s="14" t="s">
        <v>170</v>
      </c>
      <c r="D146" s="14"/>
      <c r="E146" s="43">
        <v>36247</v>
      </c>
      <c r="F146" s="8">
        <f t="shared" ca="1" si="4"/>
        <v>25.153424657534245</v>
      </c>
      <c r="G146" s="7" t="s">
        <v>171</v>
      </c>
      <c r="H146" s="19"/>
      <c r="I146" s="19"/>
      <c r="J146" s="19"/>
      <c r="K146" s="19"/>
      <c r="AA146" s="12">
        <v>1</v>
      </c>
      <c r="AH146">
        <f t="shared" si="5"/>
        <v>1</v>
      </c>
    </row>
    <row r="147" spans="2:34" ht="15.75" thickBot="1" x14ac:dyDescent="0.3">
      <c r="B147" s="18" t="s">
        <v>150</v>
      </c>
      <c r="C147" s="14" t="s">
        <v>172</v>
      </c>
      <c r="D147" s="14"/>
      <c r="E147" s="43">
        <v>37516</v>
      </c>
      <c r="F147" s="8">
        <f t="shared" ca="1" si="4"/>
        <v>21.676712328767124</v>
      </c>
      <c r="G147" s="7" t="s">
        <v>38</v>
      </c>
      <c r="H147" s="44"/>
      <c r="I147" s="44"/>
      <c r="J147" s="19"/>
      <c r="K147" s="19"/>
      <c r="O147">
        <v>1</v>
      </c>
      <c r="AH147">
        <f t="shared" si="5"/>
        <v>1</v>
      </c>
    </row>
    <row r="148" spans="2:34" ht="15.75" thickBot="1" x14ac:dyDescent="0.3">
      <c r="B148" s="18" t="s">
        <v>150</v>
      </c>
      <c r="C148" s="9" t="s">
        <v>173</v>
      </c>
      <c r="D148" s="9"/>
      <c r="E148" s="43">
        <v>34766</v>
      </c>
      <c r="F148" s="8">
        <f t="shared" ca="1" si="4"/>
        <v>29.210958904109589</v>
      </c>
      <c r="G148" s="9" t="s">
        <v>38</v>
      </c>
      <c r="H148" s="19"/>
      <c r="I148" s="19"/>
      <c r="J148" s="19"/>
      <c r="K148" s="19"/>
      <c r="M148">
        <v>1</v>
      </c>
      <c r="N148">
        <v>1</v>
      </c>
      <c r="O148">
        <v>1</v>
      </c>
      <c r="P148">
        <v>1</v>
      </c>
      <c r="Q148">
        <v>1</v>
      </c>
      <c r="R148">
        <v>1</v>
      </c>
      <c r="T148">
        <v>1</v>
      </c>
      <c r="U148">
        <v>1</v>
      </c>
      <c r="AH148">
        <f t="shared" si="5"/>
        <v>8</v>
      </c>
    </row>
    <row r="149" spans="2:34" ht="15.75" thickBot="1" x14ac:dyDescent="0.3">
      <c r="B149" s="18" t="s">
        <v>150</v>
      </c>
      <c r="C149" s="9" t="s">
        <v>174</v>
      </c>
      <c r="D149" s="9"/>
      <c r="E149" s="43">
        <v>37217</v>
      </c>
      <c r="F149" s="8">
        <f t="shared" ca="1" si="4"/>
        <v>22.495890410958904</v>
      </c>
      <c r="G149" s="7" t="s">
        <v>38</v>
      </c>
      <c r="H149" s="19"/>
      <c r="I149" s="19">
        <v>1</v>
      </c>
      <c r="J149" s="19"/>
      <c r="K149" s="19"/>
      <c r="M149">
        <v>1</v>
      </c>
      <c r="N149">
        <v>1</v>
      </c>
      <c r="O149">
        <v>1</v>
      </c>
      <c r="P149">
        <v>1</v>
      </c>
      <c r="Q149">
        <v>1</v>
      </c>
      <c r="R149">
        <v>1</v>
      </c>
      <c r="S149">
        <v>1</v>
      </c>
      <c r="T149">
        <v>1</v>
      </c>
      <c r="U149">
        <v>1</v>
      </c>
      <c r="V149">
        <v>1</v>
      </c>
      <c r="W149">
        <v>1</v>
      </c>
      <c r="X149">
        <v>1</v>
      </c>
      <c r="Y149">
        <v>1</v>
      </c>
      <c r="Z149">
        <v>1</v>
      </c>
      <c r="AA149" s="12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H149">
        <f t="shared" si="5"/>
        <v>20</v>
      </c>
    </row>
    <row r="150" spans="2:34" ht="15.75" thickBot="1" x14ac:dyDescent="0.3">
      <c r="B150" s="18" t="s">
        <v>150</v>
      </c>
      <c r="C150" s="10" t="s">
        <v>175</v>
      </c>
      <c r="D150" s="10"/>
      <c r="E150" s="43">
        <v>37496</v>
      </c>
      <c r="F150" s="8">
        <f t="shared" ca="1" si="4"/>
        <v>21.731506849315068</v>
      </c>
      <c r="G150" s="7" t="s">
        <v>38</v>
      </c>
      <c r="H150" s="44"/>
      <c r="I150" s="44"/>
      <c r="J150" s="19"/>
      <c r="K150" s="19"/>
      <c r="M150">
        <v>1</v>
      </c>
      <c r="N150">
        <v>1</v>
      </c>
      <c r="O150">
        <v>1</v>
      </c>
      <c r="AH150">
        <f t="shared" si="5"/>
        <v>3</v>
      </c>
    </row>
    <row r="151" spans="2:34" ht="15.75" thickBot="1" x14ac:dyDescent="0.3">
      <c r="B151" s="18" t="s">
        <v>150</v>
      </c>
      <c r="C151" s="14" t="s">
        <v>176</v>
      </c>
      <c r="D151" s="14"/>
      <c r="E151" s="43">
        <v>38193</v>
      </c>
      <c r="F151" s="8">
        <f t="shared" ca="1" si="4"/>
        <v>19.82191780821918</v>
      </c>
      <c r="G151" s="7" t="s">
        <v>38</v>
      </c>
      <c r="H151" s="19"/>
      <c r="I151" s="19"/>
      <c r="J151" s="19"/>
      <c r="K151" s="19">
        <v>1</v>
      </c>
      <c r="M151">
        <v>1</v>
      </c>
      <c r="N151">
        <v>1</v>
      </c>
      <c r="O151">
        <v>1</v>
      </c>
      <c r="P151">
        <v>1</v>
      </c>
      <c r="Q151">
        <v>1</v>
      </c>
      <c r="AH151">
        <f t="shared" si="5"/>
        <v>5</v>
      </c>
    </row>
    <row r="152" spans="2:34" ht="15.75" thickBot="1" x14ac:dyDescent="0.3">
      <c r="B152" s="20" t="s">
        <v>177</v>
      </c>
      <c r="C152" s="14" t="s">
        <v>178</v>
      </c>
      <c r="D152" s="14"/>
      <c r="E152" s="43">
        <v>36246</v>
      </c>
      <c r="F152" s="8">
        <f t="shared" ca="1" si="4"/>
        <v>25.156164383561645</v>
      </c>
      <c r="G152" s="7" t="s">
        <v>38</v>
      </c>
      <c r="H152" s="19"/>
      <c r="I152" s="19"/>
      <c r="J152" s="19"/>
      <c r="K152" s="19"/>
      <c r="L152">
        <v>1</v>
      </c>
      <c r="AC152">
        <v>1</v>
      </c>
      <c r="AF152">
        <v>1</v>
      </c>
      <c r="AG152">
        <v>1</v>
      </c>
      <c r="AH152">
        <f t="shared" si="5"/>
        <v>4</v>
      </c>
    </row>
    <row r="153" spans="2:34" ht="15.75" thickBot="1" x14ac:dyDescent="0.3">
      <c r="B153" s="20" t="s">
        <v>177</v>
      </c>
      <c r="C153" s="9" t="s">
        <v>179</v>
      </c>
      <c r="D153" s="9"/>
      <c r="E153" s="43">
        <v>35621</v>
      </c>
      <c r="F153" s="8">
        <f t="shared" ca="1" si="4"/>
        <v>26.86849315068493</v>
      </c>
      <c r="G153" s="7" t="s">
        <v>180</v>
      </c>
      <c r="H153" s="19"/>
      <c r="I153" s="19"/>
      <c r="J153" s="19"/>
      <c r="K153" s="19"/>
      <c r="L153">
        <v>1</v>
      </c>
      <c r="M153">
        <v>1</v>
      </c>
      <c r="N153">
        <v>1</v>
      </c>
      <c r="O153">
        <v>1</v>
      </c>
      <c r="P153">
        <v>1</v>
      </c>
      <c r="Q153">
        <v>1</v>
      </c>
      <c r="S153">
        <v>1</v>
      </c>
      <c r="T153">
        <v>1</v>
      </c>
      <c r="U153">
        <v>1</v>
      </c>
      <c r="V153">
        <v>1</v>
      </c>
      <c r="W153">
        <v>1</v>
      </c>
      <c r="X153">
        <v>1</v>
      </c>
      <c r="Z153">
        <v>1</v>
      </c>
      <c r="AE153">
        <v>1</v>
      </c>
      <c r="AF153">
        <v>1</v>
      </c>
      <c r="AG153">
        <v>1</v>
      </c>
      <c r="AH153">
        <f t="shared" si="5"/>
        <v>16</v>
      </c>
    </row>
    <row r="154" spans="2:34" ht="15.75" thickBot="1" x14ac:dyDescent="0.3">
      <c r="B154" s="20" t="s">
        <v>177</v>
      </c>
      <c r="C154" s="9" t="s">
        <v>181</v>
      </c>
      <c r="D154" s="9"/>
      <c r="E154" s="43">
        <v>34877</v>
      </c>
      <c r="F154" s="8">
        <f t="shared" ca="1" si="4"/>
        <v>28.906849315068492</v>
      </c>
      <c r="G154" s="7" t="s">
        <v>41</v>
      </c>
      <c r="H154" s="19"/>
      <c r="I154" s="19"/>
      <c r="J154" s="19"/>
      <c r="K154" s="19"/>
      <c r="L154">
        <v>1</v>
      </c>
      <c r="M154">
        <v>1</v>
      </c>
      <c r="N154">
        <v>1</v>
      </c>
      <c r="O154">
        <v>1</v>
      </c>
      <c r="P154">
        <v>1</v>
      </c>
      <c r="Q154">
        <v>1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C154">
        <v>1</v>
      </c>
      <c r="AD154">
        <v>1</v>
      </c>
      <c r="AE154">
        <v>1</v>
      </c>
      <c r="AF154">
        <v>1</v>
      </c>
      <c r="AG154">
        <v>1</v>
      </c>
      <c r="AH154">
        <f t="shared" si="5"/>
        <v>20</v>
      </c>
    </row>
    <row r="155" spans="2:34" ht="15.75" thickBot="1" x14ac:dyDescent="0.3">
      <c r="B155" s="20" t="s">
        <v>177</v>
      </c>
      <c r="C155" s="7" t="s">
        <v>182</v>
      </c>
      <c r="D155" s="7"/>
      <c r="E155" s="43">
        <v>37049</v>
      </c>
      <c r="F155" s="8">
        <f t="shared" ca="1" si="4"/>
        <v>22.956164383561642</v>
      </c>
      <c r="G155" s="7" t="s">
        <v>38</v>
      </c>
      <c r="H155" s="19"/>
      <c r="I155" s="19">
        <v>1</v>
      </c>
      <c r="J155" s="19"/>
      <c r="K155" s="19"/>
      <c r="W155">
        <v>1</v>
      </c>
      <c r="X155">
        <v>1</v>
      </c>
      <c r="Y155">
        <v>1</v>
      </c>
      <c r="Z155">
        <v>1</v>
      </c>
      <c r="AA155">
        <v>1</v>
      </c>
      <c r="AC155">
        <v>1</v>
      </c>
      <c r="AD155">
        <v>1</v>
      </c>
      <c r="AH155">
        <f t="shared" si="5"/>
        <v>7</v>
      </c>
    </row>
    <row r="156" spans="2:34" ht="15.75" thickBot="1" x14ac:dyDescent="0.3">
      <c r="B156" s="20" t="s">
        <v>177</v>
      </c>
      <c r="C156" s="7" t="s">
        <v>338</v>
      </c>
      <c r="D156" s="7"/>
      <c r="E156" s="43">
        <v>37172</v>
      </c>
      <c r="F156" s="8">
        <f t="shared" ca="1" si="4"/>
        <v>22.61917808219178</v>
      </c>
      <c r="G156" s="7" t="s">
        <v>38</v>
      </c>
      <c r="H156" s="19"/>
      <c r="I156" s="19"/>
      <c r="J156" s="19"/>
      <c r="K156" s="44">
        <v>1</v>
      </c>
      <c r="AH156">
        <f t="shared" si="5"/>
        <v>0</v>
      </c>
    </row>
    <row r="157" spans="2:34" ht="15.75" thickBot="1" x14ac:dyDescent="0.3">
      <c r="B157" s="20" t="s">
        <v>177</v>
      </c>
      <c r="C157" s="7" t="s">
        <v>183</v>
      </c>
      <c r="D157" s="7"/>
      <c r="E157" s="43">
        <v>33437</v>
      </c>
      <c r="F157" s="8">
        <f t="shared" ca="1" si="4"/>
        <v>32.852054794520548</v>
      </c>
      <c r="G157" s="7" t="s">
        <v>126</v>
      </c>
      <c r="H157" s="19"/>
      <c r="I157" s="19"/>
      <c r="J157" s="19"/>
      <c r="K157" s="19"/>
      <c r="AD157">
        <v>1</v>
      </c>
      <c r="AF157">
        <v>1</v>
      </c>
      <c r="AG157">
        <v>1</v>
      </c>
      <c r="AH157">
        <f t="shared" si="5"/>
        <v>3</v>
      </c>
    </row>
    <row r="158" spans="2:34" ht="15.75" thickBot="1" x14ac:dyDescent="0.3">
      <c r="B158" s="20" t="s">
        <v>177</v>
      </c>
      <c r="C158" s="9" t="s">
        <v>184</v>
      </c>
      <c r="D158" s="9"/>
      <c r="E158" s="43">
        <v>34540</v>
      </c>
      <c r="F158" s="8">
        <f t="shared" ca="1" si="4"/>
        <v>29.830136986301369</v>
      </c>
      <c r="G158" s="7" t="s">
        <v>126</v>
      </c>
      <c r="H158" s="19">
        <v>1</v>
      </c>
      <c r="I158" s="19"/>
      <c r="J158" s="19"/>
      <c r="K158" s="19"/>
      <c r="L158">
        <v>1</v>
      </c>
      <c r="M158">
        <v>1</v>
      </c>
      <c r="N158">
        <v>1</v>
      </c>
      <c r="O158">
        <v>1</v>
      </c>
      <c r="P158">
        <v>1</v>
      </c>
      <c r="Q158">
        <v>1</v>
      </c>
      <c r="S158">
        <v>1</v>
      </c>
      <c r="T158">
        <v>1</v>
      </c>
      <c r="U158">
        <v>1</v>
      </c>
      <c r="V158">
        <v>1</v>
      </c>
      <c r="W158">
        <v>1</v>
      </c>
      <c r="X158">
        <v>1</v>
      </c>
      <c r="Y158">
        <v>1</v>
      </c>
      <c r="Z158" s="12">
        <v>1</v>
      </c>
      <c r="AA158">
        <v>1</v>
      </c>
      <c r="AC158">
        <v>1</v>
      </c>
      <c r="AD158">
        <v>1</v>
      </c>
      <c r="AE158">
        <v>1</v>
      </c>
      <c r="AF158">
        <v>1</v>
      </c>
      <c r="AG158">
        <v>1</v>
      </c>
      <c r="AH158">
        <f t="shared" si="5"/>
        <v>20</v>
      </c>
    </row>
    <row r="159" spans="2:34" ht="15.75" thickBot="1" x14ac:dyDescent="0.3">
      <c r="B159" s="20" t="s">
        <v>177</v>
      </c>
      <c r="C159" s="7" t="s">
        <v>185</v>
      </c>
      <c r="D159" s="7"/>
      <c r="E159" s="43">
        <v>33718</v>
      </c>
      <c r="F159" s="8">
        <f t="shared" ca="1" si="4"/>
        <v>32.082191780821915</v>
      </c>
      <c r="G159" s="7" t="s">
        <v>38</v>
      </c>
      <c r="H159" s="19"/>
      <c r="I159" s="19"/>
      <c r="J159" s="19"/>
      <c r="K159" s="19"/>
      <c r="L159">
        <v>1</v>
      </c>
      <c r="Q159">
        <v>1</v>
      </c>
      <c r="S159">
        <v>1</v>
      </c>
      <c r="T159">
        <v>1</v>
      </c>
      <c r="AA159" s="12">
        <v>1</v>
      </c>
      <c r="AC159">
        <v>1</v>
      </c>
      <c r="AH159">
        <f t="shared" si="5"/>
        <v>6</v>
      </c>
    </row>
    <row r="160" spans="2:34" ht="15.75" thickBot="1" x14ac:dyDescent="0.3">
      <c r="B160" s="20" t="s">
        <v>177</v>
      </c>
      <c r="C160" s="7" t="s">
        <v>186</v>
      </c>
      <c r="D160" s="7"/>
      <c r="E160" s="43">
        <v>35754</v>
      </c>
      <c r="F160" s="8">
        <f t="shared" ca="1" si="4"/>
        <v>26.504109589041096</v>
      </c>
      <c r="G160" s="7" t="s">
        <v>61</v>
      </c>
      <c r="H160" s="19"/>
      <c r="I160" s="19"/>
      <c r="J160" s="19"/>
      <c r="K160" s="19"/>
      <c r="L160">
        <v>1</v>
      </c>
      <c r="M160">
        <v>1</v>
      </c>
      <c r="O160">
        <v>1</v>
      </c>
      <c r="P160">
        <v>1</v>
      </c>
      <c r="Q160">
        <v>1</v>
      </c>
      <c r="S160">
        <v>1</v>
      </c>
      <c r="T160">
        <v>1</v>
      </c>
      <c r="U160">
        <v>1</v>
      </c>
      <c r="V160">
        <v>1</v>
      </c>
      <c r="W160">
        <v>1</v>
      </c>
      <c r="X160">
        <v>1</v>
      </c>
      <c r="Y160">
        <v>1</v>
      </c>
      <c r="Z160" s="12">
        <v>1</v>
      </c>
      <c r="AA160" s="12">
        <v>1</v>
      </c>
      <c r="AC160">
        <v>1</v>
      </c>
      <c r="AD160">
        <v>1</v>
      </c>
      <c r="AE160">
        <v>1</v>
      </c>
      <c r="AF160">
        <v>1</v>
      </c>
      <c r="AG160">
        <v>1</v>
      </c>
      <c r="AH160">
        <f t="shared" si="5"/>
        <v>19</v>
      </c>
    </row>
    <row r="161" spans="2:34" ht="15.75" thickBot="1" x14ac:dyDescent="0.3">
      <c r="B161" s="20" t="s">
        <v>177</v>
      </c>
      <c r="C161" s="10" t="s">
        <v>187</v>
      </c>
      <c r="D161" s="10"/>
      <c r="E161" s="43">
        <v>34220</v>
      </c>
      <c r="F161" s="8">
        <f t="shared" ca="1" si="4"/>
        <v>30.706849315068492</v>
      </c>
      <c r="G161" s="7" t="s">
        <v>38</v>
      </c>
      <c r="H161" s="44">
        <v>1</v>
      </c>
      <c r="I161" s="44"/>
      <c r="J161" s="44"/>
      <c r="K161" s="19"/>
      <c r="L161">
        <v>1</v>
      </c>
      <c r="N161">
        <v>1</v>
      </c>
      <c r="O161">
        <v>1</v>
      </c>
      <c r="Q161">
        <v>1</v>
      </c>
      <c r="S161">
        <v>1</v>
      </c>
      <c r="T161">
        <v>1</v>
      </c>
      <c r="U161">
        <v>1</v>
      </c>
      <c r="V161">
        <v>1</v>
      </c>
      <c r="W161">
        <v>1</v>
      </c>
      <c r="X161">
        <v>1</v>
      </c>
      <c r="Y161">
        <v>1</v>
      </c>
      <c r="Z161">
        <v>1</v>
      </c>
      <c r="AA161">
        <v>1</v>
      </c>
      <c r="AC161">
        <v>1</v>
      </c>
      <c r="AD161">
        <v>1</v>
      </c>
      <c r="AE161">
        <v>1</v>
      </c>
      <c r="AF161">
        <v>1</v>
      </c>
      <c r="AG161">
        <v>1</v>
      </c>
      <c r="AH161">
        <f t="shared" si="5"/>
        <v>18</v>
      </c>
    </row>
    <row r="162" spans="2:34" ht="15.75" thickBot="1" x14ac:dyDescent="0.3">
      <c r="B162" s="20" t="s">
        <v>177</v>
      </c>
      <c r="C162" s="14" t="s">
        <v>188</v>
      </c>
      <c r="D162" s="14"/>
      <c r="E162" s="43">
        <v>36151</v>
      </c>
      <c r="F162" s="8">
        <f t="shared" ca="1" si="4"/>
        <v>25.416438356164385</v>
      </c>
      <c r="G162" s="7" t="s">
        <v>61</v>
      </c>
      <c r="H162" s="19"/>
      <c r="I162" s="19"/>
      <c r="J162" s="19"/>
      <c r="K162" s="19"/>
      <c r="L162">
        <v>1</v>
      </c>
      <c r="M162">
        <v>1</v>
      </c>
      <c r="N162">
        <v>1</v>
      </c>
      <c r="O162">
        <v>1</v>
      </c>
      <c r="S162">
        <v>1</v>
      </c>
      <c r="T162">
        <v>1</v>
      </c>
      <c r="U162">
        <v>1</v>
      </c>
      <c r="V162">
        <v>1</v>
      </c>
      <c r="W162">
        <v>1</v>
      </c>
      <c r="X162">
        <v>1</v>
      </c>
      <c r="Y162">
        <v>1</v>
      </c>
      <c r="AC162">
        <v>1</v>
      </c>
      <c r="AD162">
        <v>1</v>
      </c>
      <c r="AE162">
        <v>1</v>
      </c>
      <c r="AF162">
        <v>1</v>
      </c>
      <c r="AG162">
        <v>1</v>
      </c>
      <c r="AH162">
        <f t="shared" si="5"/>
        <v>16</v>
      </c>
    </row>
    <row r="163" spans="2:34" ht="15.75" thickBot="1" x14ac:dyDescent="0.3">
      <c r="B163" s="20" t="s">
        <v>177</v>
      </c>
      <c r="C163" s="10" t="s">
        <v>189</v>
      </c>
      <c r="D163" s="10"/>
      <c r="E163" s="43">
        <v>38006</v>
      </c>
      <c r="F163" s="8">
        <f t="shared" ca="1" si="4"/>
        <v>20.334246575342465</v>
      </c>
      <c r="G163" s="7" t="s">
        <v>38</v>
      </c>
      <c r="H163" s="19"/>
      <c r="I163" s="19"/>
      <c r="J163" s="44"/>
      <c r="K163" s="19">
        <v>1</v>
      </c>
      <c r="M163">
        <v>1</v>
      </c>
      <c r="N163">
        <v>1</v>
      </c>
      <c r="O163">
        <v>1</v>
      </c>
      <c r="P163">
        <v>1</v>
      </c>
      <c r="Q163">
        <v>1</v>
      </c>
      <c r="S163">
        <v>1</v>
      </c>
      <c r="U163">
        <v>1</v>
      </c>
      <c r="V163">
        <v>1</v>
      </c>
      <c r="W163">
        <v>1</v>
      </c>
      <c r="X163">
        <v>1</v>
      </c>
      <c r="Y163">
        <v>1</v>
      </c>
      <c r="Z163">
        <v>1</v>
      </c>
      <c r="AA163">
        <v>1</v>
      </c>
      <c r="AD163">
        <v>1</v>
      </c>
      <c r="AE163">
        <v>1</v>
      </c>
      <c r="AG163">
        <v>1</v>
      </c>
      <c r="AH163">
        <f t="shared" si="5"/>
        <v>16</v>
      </c>
    </row>
    <row r="164" spans="2:34" ht="15.75" thickBot="1" x14ac:dyDescent="0.3">
      <c r="B164" s="20" t="s">
        <v>177</v>
      </c>
      <c r="C164" s="9" t="s">
        <v>190</v>
      </c>
      <c r="D164" s="9"/>
      <c r="E164" s="43">
        <v>34557</v>
      </c>
      <c r="F164" s="8">
        <f t="shared" ca="1" si="4"/>
        <v>29.783561643835615</v>
      </c>
      <c r="G164" s="7" t="s">
        <v>180</v>
      </c>
      <c r="H164" s="19"/>
      <c r="I164" s="19"/>
      <c r="J164" s="19"/>
      <c r="K164" s="19"/>
      <c r="L164">
        <v>1</v>
      </c>
      <c r="M164">
        <v>1</v>
      </c>
      <c r="N164">
        <v>1</v>
      </c>
      <c r="O164">
        <v>1</v>
      </c>
      <c r="P164">
        <v>1</v>
      </c>
      <c r="Q164">
        <v>1</v>
      </c>
      <c r="S164">
        <v>1</v>
      </c>
      <c r="T164">
        <v>1</v>
      </c>
      <c r="W164">
        <v>1</v>
      </c>
      <c r="X164">
        <v>1</v>
      </c>
      <c r="Y164">
        <v>1</v>
      </c>
      <c r="Z164">
        <v>1</v>
      </c>
      <c r="AA164">
        <v>1</v>
      </c>
      <c r="AD164">
        <v>1</v>
      </c>
      <c r="AE164">
        <v>1</v>
      </c>
      <c r="AF164">
        <v>1</v>
      </c>
      <c r="AG164">
        <v>1</v>
      </c>
      <c r="AH164">
        <f t="shared" si="5"/>
        <v>17</v>
      </c>
    </row>
    <row r="165" spans="2:34" ht="15.75" thickBot="1" x14ac:dyDescent="0.3">
      <c r="B165" s="20" t="s">
        <v>177</v>
      </c>
      <c r="C165" s="14" t="s">
        <v>191</v>
      </c>
      <c r="D165" s="14"/>
      <c r="E165" s="43">
        <v>38197</v>
      </c>
      <c r="F165" s="8">
        <f t="shared" ca="1" si="4"/>
        <v>19.81095890410959</v>
      </c>
      <c r="G165" s="7" t="s">
        <v>38</v>
      </c>
      <c r="H165" s="19"/>
      <c r="I165" s="19"/>
      <c r="J165" s="19"/>
      <c r="K165" s="19">
        <v>1</v>
      </c>
      <c r="M165">
        <v>1</v>
      </c>
      <c r="N165">
        <v>1</v>
      </c>
      <c r="P165">
        <v>1</v>
      </c>
      <c r="AH165">
        <f t="shared" si="5"/>
        <v>3</v>
      </c>
    </row>
    <row r="166" spans="2:34" ht="15.75" thickBot="1" x14ac:dyDescent="0.3">
      <c r="B166" s="20" t="s">
        <v>177</v>
      </c>
      <c r="C166" s="9" t="s">
        <v>192</v>
      </c>
      <c r="D166" s="9"/>
      <c r="E166" s="43">
        <v>34427</v>
      </c>
      <c r="F166" s="8">
        <f t="shared" ca="1" si="4"/>
        <v>30.139726027397259</v>
      </c>
      <c r="G166" s="7" t="s">
        <v>64</v>
      </c>
      <c r="H166" s="19"/>
      <c r="I166" s="19"/>
      <c r="J166" s="19"/>
      <c r="K166" s="19"/>
      <c r="L166">
        <v>1</v>
      </c>
      <c r="M166">
        <v>1</v>
      </c>
      <c r="N166">
        <v>1</v>
      </c>
      <c r="O166">
        <v>1</v>
      </c>
      <c r="P166">
        <v>1</v>
      </c>
      <c r="Q166">
        <v>1</v>
      </c>
      <c r="S166">
        <v>1</v>
      </c>
      <c r="T166">
        <v>1</v>
      </c>
      <c r="U166">
        <v>1</v>
      </c>
      <c r="V166">
        <v>1</v>
      </c>
      <c r="AH166">
        <f t="shared" si="5"/>
        <v>10</v>
      </c>
    </row>
    <row r="167" spans="2:34" ht="15.75" thickBot="1" x14ac:dyDescent="0.3">
      <c r="B167" s="20" t="s">
        <v>177</v>
      </c>
      <c r="C167" s="7" t="s">
        <v>193</v>
      </c>
      <c r="D167" s="7"/>
      <c r="E167" s="43">
        <v>36874</v>
      </c>
      <c r="F167" s="8">
        <f t="shared" ca="1" si="4"/>
        <v>23.435616438356163</v>
      </c>
      <c r="G167" s="7" t="s">
        <v>38</v>
      </c>
      <c r="H167" s="44">
        <v>1</v>
      </c>
      <c r="I167" s="44"/>
      <c r="J167" s="19"/>
      <c r="K167" s="19"/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S167">
        <v>1</v>
      </c>
      <c r="T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C167">
        <v>1</v>
      </c>
      <c r="AD167">
        <v>1</v>
      </c>
      <c r="AE167">
        <v>1</v>
      </c>
      <c r="AH167">
        <f t="shared" si="5"/>
        <v>16</v>
      </c>
    </row>
    <row r="168" spans="2:34" ht="15.75" thickBot="1" x14ac:dyDescent="0.3">
      <c r="B168" s="20" t="s">
        <v>177</v>
      </c>
      <c r="C168" s="7" t="s">
        <v>194</v>
      </c>
      <c r="D168" s="7"/>
      <c r="E168" s="43">
        <v>33855</v>
      </c>
      <c r="F168" s="8">
        <f t="shared" ca="1" si="4"/>
        <v>31.706849315068492</v>
      </c>
      <c r="G168" s="7" t="s">
        <v>41</v>
      </c>
      <c r="H168" s="19"/>
      <c r="I168" s="19"/>
      <c r="J168" s="19"/>
      <c r="K168" s="19"/>
      <c r="L168">
        <v>1</v>
      </c>
      <c r="M168">
        <v>1</v>
      </c>
      <c r="N168">
        <v>1</v>
      </c>
      <c r="O168">
        <v>1</v>
      </c>
      <c r="P168">
        <v>1</v>
      </c>
      <c r="Q168">
        <v>1</v>
      </c>
      <c r="S168">
        <v>1</v>
      </c>
      <c r="T168">
        <v>1</v>
      </c>
      <c r="U168">
        <v>1</v>
      </c>
      <c r="V168">
        <v>1</v>
      </c>
      <c r="W168">
        <v>1</v>
      </c>
      <c r="Y168">
        <v>1</v>
      </c>
      <c r="Z168">
        <v>1</v>
      </c>
      <c r="AA168">
        <v>1</v>
      </c>
      <c r="AC168">
        <v>1</v>
      </c>
      <c r="AD168">
        <v>1</v>
      </c>
      <c r="AE168">
        <v>1</v>
      </c>
      <c r="AF168">
        <v>1</v>
      </c>
      <c r="AG168">
        <v>1</v>
      </c>
      <c r="AH168">
        <f t="shared" si="5"/>
        <v>19</v>
      </c>
    </row>
    <row r="169" spans="2:34" ht="15.75" thickBot="1" x14ac:dyDescent="0.3">
      <c r="B169" s="20" t="s">
        <v>177</v>
      </c>
      <c r="C169" s="7" t="s">
        <v>195</v>
      </c>
      <c r="D169" s="7"/>
      <c r="E169" s="43">
        <v>34650</v>
      </c>
      <c r="F169" s="8">
        <f t="shared" ca="1" si="4"/>
        <v>29.528767123287672</v>
      </c>
      <c r="G169" s="7" t="s">
        <v>38</v>
      </c>
      <c r="H169" s="19"/>
      <c r="I169" s="19"/>
      <c r="J169" s="19"/>
      <c r="K169" s="19"/>
      <c r="M169">
        <v>1</v>
      </c>
      <c r="N169">
        <v>1</v>
      </c>
      <c r="O169">
        <v>1</v>
      </c>
      <c r="P169">
        <v>1</v>
      </c>
      <c r="Q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C169">
        <v>1</v>
      </c>
      <c r="AD169">
        <v>1</v>
      </c>
      <c r="AE169">
        <v>1</v>
      </c>
      <c r="AG169">
        <v>1</v>
      </c>
      <c r="AH169">
        <f t="shared" si="5"/>
        <v>16</v>
      </c>
    </row>
    <row r="170" spans="2:34" ht="15.75" thickBot="1" x14ac:dyDescent="0.3">
      <c r="B170" s="19" t="s">
        <v>196</v>
      </c>
      <c r="C170" s="7" t="s">
        <v>197</v>
      </c>
      <c r="D170" s="7"/>
      <c r="E170" s="43">
        <v>32908</v>
      </c>
      <c r="F170" s="8">
        <f t="shared" ca="1" si="4"/>
        <v>34.301369863013697</v>
      </c>
      <c r="G170" s="7" t="s">
        <v>38</v>
      </c>
      <c r="H170" s="19"/>
      <c r="I170" s="19"/>
      <c r="J170" s="19"/>
      <c r="K170" s="19"/>
      <c r="L170">
        <v>1</v>
      </c>
      <c r="M170">
        <v>1</v>
      </c>
      <c r="N170">
        <v>1</v>
      </c>
      <c r="O170">
        <v>1</v>
      </c>
      <c r="P170">
        <v>1</v>
      </c>
      <c r="Q170">
        <v>1</v>
      </c>
      <c r="R170">
        <v>1</v>
      </c>
      <c r="T170">
        <v>1</v>
      </c>
      <c r="U170">
        <v>1</v>
      </c>
      <c r="V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D170">
        <v>1</v>
      </c>
      <c r="AE170">
        <v>1</v>
      </c>
      <c r="AF170">
        <v>1</v>
      </c>
      <c r="AG170">
        <v>1</v>
      </c>
      <c r="AH170">
        <f t="shared" si="5"/>
        <v>19</v>
      </c>
    </row>
    <row r="171" spans="2:34" ht="15.75" thickBot="1" x14ac:dyDescent="0.3">
      <c r="B171" s="19" t="s">
        <v>196</v>
      </c>
      <c r="C171" s="7" t="s">
        <v>198</v>
      </c>
      <c r="D171" s="7"/>
      <c r="E171" s="43">
        <v>37057</v>
      </c>
      <c r="F171" s="8">
        <f t="shared" ca="1" si="4"/>
        <v>22.934246575342467</v>
      </c>
      <c r="G171" s="7" t="s">
        <v>38</v>
      </c>
      <c r="H171" s="44"/>
      <c r="I171" s="44">
        <v>1</v>
      </c>
      <c r="J171" s="19"/>
      <c r="K171" s="19"/>
      <c r="L171">
        <v>1</v>
      </c>
      <c r="M171">
        <v>1</v>
      </c>
      <c r="N171">
        <v>1</v>
      </c>
      <c r="O171">
        <v>1</v>
      </c>
      <c r="P171">
        <v>1</v>
      </c>
      <c r="Q171">
        <v>1</v>
      </c>
      <c r="R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AA171">
        <v>1</v>
      </c>
      <c r="AB171">
        <v>1</v>
      </c>
      <c r="AD171">
        <v>1</v>
      </c>
      <c r="AE171">
        <v>1</v>
      </c>
      <c r="AF171">
        <v>1</v>
      </c>
      <c r="AG171">
        <v>1</v>
      </c>
      <c r="AH171">
        <f t="shared" si="5"/>
        <v>19</v>
      </c>
    </row>
    <row r="172" spans="2:34" ht="15.75" thickBot="1" x14ac:dyDescent="0.3">
      <c r="B172" s="19" t="s">
        <v>196</v>
      </c>
      <c r="C172" s="7" t="s">
        <v>199</v>
      </c>
      <c r="D172" s="7"/>
      <c r="E172" s="43">
        <v>37694</v>
      </c>
      <c r="F172" s="8">
        <f t="shared" ca="1" si="4"/>
        <v>21.18904109589041</v>
      </c>
      <c r="G172" s="7" t="s">
        <v>38</v>
      </c>
      <c r="H172" s="44"/>
      <c r="I172" s="44"/>
      <c r="J172" s="19"/>
      <c r="K172" s="19"/>
      <c r="M172">
        <v>1</v>
      </c>
      <c r="Z172">
        <v>1</v>
      </c>
      <c r="AA172">
        <v>1</v>
      </c>
      <c r="AF172">
        <v>1</v>
      </c>
      <c r="AH172">
        <f t="shared" si="5"/>
        <v>4</v>
      </c>
    </row>
    <row r="173" spans="2:34" ht="15.75" thickBot="1" x14ac:dyDescent="0.3">
      <c r="B173" s="19" t="s">
        <v>196</v>
      </c>
      <c r="C173" s="9" t="s">
        <v>200</v>
      </c>
      <c r="D173" s="9"/>
      <c r="E173" s="43">
        <v>37454</v>
      </c>
      <c r="F173" s="8">
        <f t="shared" ca="1" si="4"/>
        <v>21.846575342465755</v>
      </c>
      <c r="G173" s="7" t="s">
        <v>38</v>
      </c>
      <c r="H173" s="44"/>
      <c r="I173" s="44"/>
      <c r="J173" s="19"/>
      <c r="K173" s="19"/>
      <c r="N173">
        <v>1</v>
      </c>
      <c r="V173">
        <v>1</v>
      </c>
      <c r="Z173" s="12">
        <v>1</v>
      </c>
      <c r="AB173">
        <v>1</v>
      </c>
      <c r="AF173">
        <v>1</v>
      </c>
      <c r="AH173">
        <f t="shared" si="5"/>
        <v>5</v>
      </c>
    </row>
    <row r="174" spans="2:34" ht="15.75" thickBot="1" x14ac:dyDescent="0.3">
      <c r="B174" s="19" t="s">
        <v>196</v>
      </c>
      <c r="C174" s="9" t="s">
        <v>201</v>
      </c>
      <c r="D174" s="9"/>
      <c r="E174" s="43">
        <v>35961</v>
      </c>
      <c r="F174" s="8">
        <f t="shared" ca="1" si="4"/>
        <v>25.936986301369863</v>
      </c>
      <c r="G174" s="7" t="s">
        <v>126</v>
      </c>
      <c r="H174" s="19">
        <v>1</v>
      </c>
      <c r="I174" s="19"/>
      <c r="J174" s="19"/>
      <c r="K174" s="19"/>
      <c r="M174">
        <v>1</v>
      </c>
      <c r="W174">
        <v>1</v>
      </c>
      <c r="X174">
        <v>1</v>
      </c>
      <c r="AB174">
        <v>1</v>
      </c>
      <c r="AH174">
        <f t="shared" si="5"/>
        <v>4</v>
      </c>
    </row>
    <row r="175" spans="2:34" ht="15.75" thickBot="1" x14ac:dyDescent="0.3">
      <c r="B175" s="19" t="s">
        <v>196</v>
      </c>
      <c r="C175" s="9" t="s">
        <v>202</v>
      </c>
      <c r="D175" s="9"/>
      <c r="E175" s="43">
        <v>35961</v>
      </c>
      <c r="F175" s="8">
        <f t="shared" ca="1" si="4"/>
        <v>25.936986301369863</v>
      </c>
      <c r="G175" s="7" t="s">
        <v>41</v>
      </c>
      <c r="H175" s="44"/>
      <c r="I175" s="44"/>
      <c r="J175" s="19"/>
      <c r="K175" s="19"/>
      <c r="L175">
        <v>1</v>
      </c>
      <c r="M175">
        <v>1</v>
      </c>
      <c r="N175">
        <v>1</v>
      </c>
      <c r="O175">
        <v>1</v>
      </c>
      <c r="P175">
        <v>1</v>
      </c>
      <c r="Q175">
        <v>1</v>
      </c>
      <c r="R175">
        <v>1</v>
      </c>
      <c r="T175">
        <v>1</v>
      </c>
      <c r="U175">
        <v>1</v>
      </c>
      <c r="V175">
        <v>1</v>
      </c>
      <c r="AH175">
        <f t="shared" si="5"/>
        <v>10</v>
      </c>
    </row>
    <row r="176" spans="2:34" ht="15.75" thickBot="1" x14ac:dyDescent="0.3">
      <c r="B176" s="19" t="s">
        <v>196</v>
      </c>
      <c r="C176" s="9" t="s">
        <v>203</v>
      </c>
      <c r="D176" s="9"/>
      <c r="E176" s="43">
        <v>37787</v>
      </c>
      <c r="F176" s="8">
        <f t="shared" ca="1" si="4"/>
        <v>20.934246575342467</v>
      </c>
      <c r="G176" s="7" t="s">
        <v>38</v>
      </c>
      <c r="H176" s="44"/>
      <c r="I176" s="44"/>
      <c r="J176" s="19"/>
      <c r="K176" s="19"/>
      <c r="M176">
        <v>1</v>
      </c>
      <c r="T176">
        <v>1</v>
      </c>
      <c r="AH176">
        <f t="shared" si="5"/>
        <v>2</v>
      </c>
    </row>
    <row r="177" spans="2:34" ht="15.75" thickBot="1" x14ac:dyDescent="0.3">
      <c r="B177" s="19" t="s">
        <v>196</v>
      </c>
      <c r="C177" s="7" t="s">
        <v>204</v>
      </c>
      <c r="D177" s="7"/>
      <c r="E177" s="43">
        <v>37422</v>
      </c>
      <c r="F177" s="8">
        <f t="shared" ca="1" si="4"/>
        <v>21.934246575342467</v>
      </c>
      <c r="G177" s="7" t="s">
        <v>38</v>
      </c>
      <c r="H177" s="19"/>
      <c r="I177" s="19">
        <v>1</v>
      </c>
      <c r="J177" s="19"/>
      <c r="K177" s="19"/>
      <c r="M177">
        <v>1</v>
      </c>
      <c r="N177">
        <v>1</v>
      </c>
      <c r="P177">
        <v>1</v>
      </c>
      <c r="Q177">
        <v>1</v>
      </c>
      <c r="R177">
        <v>1</v>
      </c>
      <c r="T177">
        <v>1</v>
      </c>
      <c r="W177">
        <v>1</v>
      </c>
      <c r="X177">
        <v>1</v>
      </c>
      <c r="Y177">
        <v>1</v>
      </c>
      <c r="Z177">
        <v>1</v>
      </c>
      <c r="AA177">
        <v>1</v>
      </c>
      <c r="AB177">
        <v>1</v>
      </c>
      <c r="AD177">
        <v>1</v>
      </c>
      <c r="AE177">
        <v>1</v>
      </c>
      <c r="AF177">
        <v>1</v>
      </c>
      <c r="AG177">
        <v>1</v>
      </c>
      <c r="AH177">
        <f t="shared" si="5"/>
        <v>16</v>
      </c>
    </row>
    <row r="178" spans="2:34" ht="15.75" thickBot="1" x14ac:dyDescent="0.3">
      <c r="B178" s="19" t="s">
        <v>196</v>
      </c>
      <c r="C178" s="14" t="s">
        <v>205</v>
      </c>
      <c r="D178" s="14"/>
      <c r="E178" s="43">
        <v>36224</v>
      </c>
      <c r="F178" s="8">
        <f t="shared" ca="1" si="4"/>
        <v>25.216438356164385</v>
      </c>
      <c r="G178" s="7" t="s">
        <v>206</v>
      </c>
      <c r="H178" s="19">
        <v>1</v>
      </c>
      <c r="I178" s="19"/>
      <c r="J178" s="19"/>
      <c r="K178" s="19"/>
      <c r="T178">
        <v>1</v>
      </c>
      <c r="W178">
        <v>1</v>
      </c>
      <c r="X178">
        <v>1</v>
      </c>
      <c r="Z178">
        <v>1</v>
      </c>
      <c r="AA178">
        <v>1</v>
      </c>
      <c r="AB178">
        <v>1</v>
      </c>
      <c r="AD178">
        <v>1</v>
      </c>
      <c r="AE178">
        <v>1</v>
      </c>
      <c r="AH178">
        <f t="shared" si="5"/>
        <v>8</v>
      </c>
    </row>
    <row r="179" spans="2:34" ht="15.75" thickBot="1" x14ac:dyDescent="0.3">
      <c r="B179" s="19" t="s">
        <v>196</v>
      </c>
      <c r="C179" s="10" t="s">
        <v>207</v>
      </c>
      <c r="D179" s="10"/>
      <c r="E179" s="43">
        <v>36424</v>
      </c>
      <c r="F179" s="8">
        <f t="shared" ca="1" si="4"/>
        <v>24.668493150684931</v>
      </c>
      <c r="G179" s="7" t="s">
        <v>38</v>
      </c>
      <c r="H179" s="19"/>
      <c r="I179" s="19"/>
      <c r="J179" s="19"/>
      <c r="K179" s="19"/>
      <c r="L179">
        <v>1</v>
      </c>
      <c r="M179">
        <v>1</v>
      </c>
      <c r="N179">
        <v>1</v>
      </c>
      <c r="O179">
        <v>1</v>
      </c>
      <c r="P179">
        <v>1</v>
      </c>
      <c r="Q179">
        <v>1</v>
      </c>
      <c r="AH179">
        <f t="shared" si="5"/>
        <v>6</v>
      </c>
    </row>
    <row r="180" spans="2:34" ht="15.75" thickBot="1" x14ac:dyDescent="0.3">
      <c r="B180" s="19" t="s">
        <v>196</v>
      </c>
      <c r="C180" s="7" t="s">
        <v>208</v>
      </c>
      <c r="D180" s="7"/>
      <c r="E180" s="43">
        <v>34368</v>
      </c>
      <c r="F180" s="8">
        <f t="shared" ca="1" si="4"/>
        <v>30.301369863013697</v>
      </c>
      <c r="G180" s="7" t="s">
        <v>41</v>
      </c>
      <c r="H180" s="44"/>
      <c r="I180" s="44"/>
      <c r="J180" s="19"/>
      <c r="K180" s="19"/>
      <c r="L180">
        <v>1</v>
      </c>
      <c r="M180">
        <v>1</v>
      </c>
      <c r="N180">
        <v>1</v>
      </c>
      <c r="O180">
        <v>1</v>
      </c>
      <c r="P180">
        <v>1</v>
      </c>
      <c r="Q180">
        <v>1</v>
      </c>
      <c r="R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D180">
        <v>1</v>
      </c>
      <c r="AE180">
        <v>1</v>
      </c>
      <c r="AF180">
        <v>1</v>
      </c>
      <c r="AG180">
        <v>1</v>
      </c>
      <c r="AH180">
        <f t="shared" si="5"/>
        <v>20</v>
      </c>
    </row>
    <row r="181" spans="2:34" ht="15.75" thickBot="1" x14ac:dyDescent="0.3">
      <c r="B181" s="19" t="s">
        <v>196</v>
      </c>
      <c r="C181" s="9" t="s">
        <v>209</v>
      </c>
      <c r="D181" s="9"/>
      <c r="E181" s="43">
        <v>36271</v>
      </c>
      <c r="F181" s="8">
        <f t="shared" ca="1" si="4"/>
        <v>25.087671232876712</v>
      </c>
      <c r="G181" s="7" t="s">
        <v>210</v>
      </c>
      <c r="H181" s="44">
        <v>1</v>
      </c>
      <c r="I181" s="44"/>
      <c r="J181" s="19"/>
      <c r="K181" s="19"/>
      <c r="Z181">
        <v>1</v>
      </c>
      <c r="AA181">
        <v>1</v>
      </c>
      <c r="AB181">
        <v>1</v>
      </c>
      <c r="AD181">
        <v>1</v>
      </c>
      <c r="AE181">
        <v>1</v>
      </c>
      <c r="AF181">
        <v>1</v>
      </c>
      <c r="AG181">
        <v>1</v>
      </c>
      <c r="AH181">
        <f t="shared" si="5"/>
        <v>7</v>
      </c>
    </row>
    <row r="182" spans="2:34" ht="15.75" thickBot="1" x14ac:dyDescent="0.3">
      <c r="B182" s="19" t="s">
        <v>196</v>
      </c>
      <c r="C182" s="7" t="s">
        <v>211</v>
      </c>
      <c r="D182" s="7"/>
      <c r="E182" s="43">
        <v>35822</v>
      </c>
      <c r="F182" s="8">
        <f t="shared" ca="1" si="4"/>
        <v>26.317808219178083</v>
      </c>
      <c r="G182" s="7" t="s">
        <v>38</v>
      </c>
      <c r="H182" s="19"/>
      <c r="I182" s="19"/>
      <c r="J182" s="19"/>
      <c r="K182" s="19"/>
      <c r="L182">
        <v>1</v>
      </c>
      <c r="M182">
        <v>1</v>
      </c>
      <c r="N182">
        <v>1</v>
      </c>
      <c r="O182">
        <v>1</v>
      </c>
      <c r="P182">
        <v>1</v>
      </c>
      <c r="Q182">
        <v>1</v>
      </c>
      <c r="R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AB182">
        <v>1</v>
      </c>
      <c r="AD182">
        <v>1</v>
      </c>
      <c r="AE182">
        <v>1</v>
      </c>
      <c r="AF182">
        <v>1</v>
      </c>
      <c r="AG182">
        <v>1</v>
      </c>
      <c r="AH182">
        <f t="shared" si="5"/>
        <v>17</v>
      </c>
    </row>
    <row r="183" spans="2:34" ht="15.75" thickBot="1" x14ac:dyDescent="0.3">
      <c r="B183" s="19" t="s">
        <v>196</v>
      </c>
      <c r="C183" s="7" t="s">
        <v>212</v>
      </c>
      <c r="D183" s="7"/>
      <c r="E183" s="43">
        <v>34925</v>
      </c>
      <c r="F183" s="8">
        <f t="shared" ca="1" si="4"/>
        <v>28.775342465753425</v>
      </c>
      <c r="G183" s="7" t="s">
        <v>38</v>
      </c>
      <c r="H183" s="44"/>
      <c r="I183" s="44"/>
      <c r="J183" s="19"/>
      <c r="K183" s="19"/>
      <c r="L183">
        <v>1</v>
      </c>
      <c r="O183">
        <v>1</v>
      </c>
      <c r="P183">
        <v>1</v>
      </c>
      <c r="Q183">
        <v>1</v>
      </c>
      <c r="R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AA183" s="12">
        <v>1</v>
      </c>
      <c r="AD183">
        <v>1</v>
      </c>
      <c r="AE183">
        <v>1</v>
      </c>
      <c r="AF183">
        <v>1</v>
      </c>
      <c r="AH183">
        <f t="shared" si="5"/>
        <v>14</v>
      </c>
    </row>
    <row r="184" spans="2:34" ht="15.75" thickBot="1" x14ac:dyDescent="0.3">
      <c r="B184" s="19" t="s">
        <v>196</v>
      </c>
      <c r="C184" s="7" t="s">
        <v>213</v>
      </c>
      <c r="D184" s="7"/>
      <c r="E184" s="43">
        <v>36865</v>
      </c>
      <c r="F184" s="8">
        <f t="shared" ca="1" si="4"/>
        <v>23.460273972602739</v>
      </c>
      <c r="G184" s="7" t="s">
        <v>38</v>
      </c>
      <c r="H184" s="19"/>
      <c r="I184" s="19"/>
      <c r="J184" s="19"/>
      <c r="K184" s="19"/>
      <c r="L184">
        <v>1</v>
      </c>
      <c r="N184">
        <v>1</v>
      </c>
      <c r="O184">
        <v>1</v>
      </c>
      <c r="T184">
        <v>1</v>
      </c>
      <c r="U184">
        <v>1</v>
      </c>
      <c r="V184">
        <v>1</v>
      </c>
      <c r="Y184">
        <v>1</v>
      </c>
      <c r="Z184">
        <v>1</v>
      </c>
      <c r="AH184">
        <f t="shared" si="5"/>
        <v>8</v>
      </c>
    </row>
    <row r="185" spans="2:34" ht="15.75" thickBot="1" x14ac:dyDescent="0.3">
      <c r="B185" s="19" t="s">
        <v>196</v>
      </c>
      <c r="C185" s="10" t="s">
        <v>214</v>
      </c>
      <c r="D185" s="10"/>
      <c r="E185" s="43">
        <v>33766</v>
      </c>
      <c r="F185" s="8">
        <f t="shared" ca="1" si="4"/>
        <v>31.950684931506849</v>
      </c>
      <c r="G185" s="7" t="s">
        <v>38</v>
      </c>
      <c r="H185" s="19"/>
      <c r="I185" s="19"/>
      <c r="J185" s="19"/>
      <c r="K185" s="19"/>
      <c r="N185">
        <v>1</v>
      </c>
      <c r="O185">
        <v>1</v>
      </c>
      <c r="P185">
        <v>1</v>
      </c>
      <c r="Q185">
        <v>1</v>
      </c>
      <c r="R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D185">
        <v>1</v>
      </c>
      <c r="AE185">
        <v>1</v>
      </c>
      <c r="AG185">
        <v>1</v>
      </c>
      <c r="AH185">
        <f t="shared" si="5"/>
        <v>17</v>
      </c>
    </row>
    <row r="186" spans="2:34" ht="15.75" thickBot="1" x14ac:dyDescent="0.3">
      <c r="B186" s="19" t="s">
        <v>196</v>
      </c>
      <c r="C186" s="10" t="s">
        <v>215</v>
      </c>
      <c r="D186" s="10"/>
      <c r="E186" s="43">
        <v>33393</v>
      </c>
      <c r="F186" s="8">
        <f t="shared" ca="1" si="4"/>
        <v>32.972602739726028</v>
      </c>
      <c r="G186" s="7" t="s">
        <v>38</v>
      </c>
      <c r="H186" s="19"/>
      <c r="I186" s="19"/>
      <c r="J186" s="19"/>
      <c r="K186" s="19"/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1</v>
      </c>
      <c r="T186">
        <v>1</v>
      </c>
      <c r="U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D186">
        <v>1</v>
      </c>
      <c r="AE186">
        <v>1</v>
      </c>
      <c r="AG186">
        <v>1</v>
      </c>
      <c r="AH186">
        <f t="shared" si="5"/>
        <v>18</v>
      </c>
    </row>
    <row r="187" spans="2:34" ht="15.75" thickBot="1" x14ac:dyDescent="0.3">
      <c r="B187" s="19" t="s">
        <v>196</v>
      </c>
      <c r="C187" s="9" t="s">
        <v>216</v>
      </c>
      <c r="D187" s="9"/>
      <c r="E187" s="43">
        <v>37787</v>
      </c>
      <c r="F187" s="8">
        <f t="shared" ca="1" si="4"/>
        <v>20.934246575342467</v>
      </c>
      <c r="G187" s="7" t="s">
        <v>38</v>
      </c>
      <c r="H187" s="44"/>
      <c r="I187" s="44"/>
      <c r="J187" s="19"/>
      <c r="K187" s="19"/>
      <c r="Z187">
        <v>1</v>
      </c>
      <c r="AA187" s="12">
        <v>1</v>
      </c>
      <c r="AH187">
        <f t="shared" si="5"/>
        <v>2</v>
      </c>
    </row>
    <row r="188" spans="2:34" ht="15.75" thickBot="1" x14ac:dyDescent="0.3">
      <c r="B188" s="19" t="s">
        <v>196</v>
      </c>
      <c r="C188" s="7" t="s">
        <v>217</v>
      </c>
      <c r="D188" s="7"/>
      <c r="E188" s="43">
        <v>36348</v>
      </c>
      <c r="F188" s="8">
        <f t="shared" ca="1" si="4"/>
        <v>24.876712328767123</v>
      </c>
      <c r="G188" s="7" t="s">
        <v>38</v>
      </c>
      <c r="H188" s="19"/>
      <c r="I188" s="19"/>
      <c r="J188" s="19"/>
      <c r="K188" s="19"/>
      <c r="L188">
        <v>1</v>
      </c>
      <c r="O188">
        <v>1</v>
      </c>
      <c r="P188">
        <v>1</v>
      </c>
      <c r="Q188">
        <v>1</v>
      </c>
      <c r="R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AD188">
        <v>1</v>
      </c>
      <c r="AE188">
        <v>1</v>
      </c>
      <c r="AF188">
        <v>1</v>
      </c>
      <c r="AG188">
        <v>1</v>
      </c>
      <c r="AH188">
        <f t="shared" si="5"/>
        <v>14</v>
      </c>
    </row>
    <row r="189" spans="2:34" ht="15.75" thickBot="1" x14ac:dyDescent="0.3">
      <c r="B189" s="19" t="s">
        <v>196</v>
      </c>
      <c r="C189" s="7" t="s">
        <v>218</v>
      </c>
      <c r="D189" s="7"/>
      <c r="E189" s="43">
        <v>32802</v>
      </c>
      <c r="F189" s="8">
        <f t="shared" ca="1" si="4"/>
        <v>34.591780821917808</v>
      </c>
      <c r="G189" s="7" t="s">
        <v>38</v>
      </c>
      <c r="H189" s="19"/>
      <c r="I189" s="19"/>
      <c r="J189" s="19"/>
      <c r="K189" s="19"/>
      <c r="L189">
        <v>1</v>
      </c>
      <c r="M189">
        <v>1</v>
      </c>
      <c r="N189">
        <v>1</v>
      </c>
      <c r="O189">
        <v>1</v>
      </c>
      <c r="Q189">
        <v>1</v>
      </c>
      <c r="R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D189">
        <v>1</v>
      </c>
      <c r="AE189">
        <v>1</v>
      </c>
      <c r="AF189">
        <v>1</v>
      </c>
      <c r="AG189">
        <v>1</v>
      </c>
      <c r="AH189">
        <f t="shared" si="5"/>
        <v>19</v>
      </c>
    </row>
    <row r="190" spans="2:34" ht="15.75" thickBot="1" x14ac:dyDescent="0.3">
      <c r="B190" s="21" t="s">
        <v>219</v>
      </c>
      <c r="C190" s="7" t="s">
        <v>220</v>
      </c>
      <c r="D190" s="7"/>
      <c r="E190" s="43">
        <v>32769</v>
      </c>
      <c r="F190" s="8">
        <f t="shared" ca="1" si="4"/>
        <v>34.682191780821917</v>
      </c>
      <c r="G190" s="7" t="s">
        <v>38</v>
      </c>
      <c r="H190" s="44"/>
      <c r="I190" s="44"/>
      <c r="J190" s="19"/>
      <c r="K190" s="19"/>
      <c r="R190">
        <v>1</v>
      </c>
      <c r="AH190">
        <f t="shared" si="5"/>
        <v>1</v>
      </c>
    </row>
    <row r="191" spans="2:34" ht="15.75" thickBot="1" x14ac:dyDescent="0.3">
      <c r="B191" s="21" t="s">
        <v>219</v>
      </c>
      <c r="C191" s="7" t="s">
        <v>221</v>
      </c>
      <c r="D191" s="7"/>
      <c r="E191" s="43">
        <v>30996</v>
      </c>
      <c r="F191" s="8">
        <f t="shared" ca="1" si="4"/>
        <v>39.539726027397258</v>
      </c>
      <c r="G191" s="7" t="s">
        <v>38</v>
      </c>
      <c r="H191" s="44"/>
      <c r="I191" s="44"/>
      <c r="J191" s="19"/>
      <c r="K191" s="19"/>
      <c r="L191">
        <v>1</v>
      </c>
      <c r="M191">
        <v>1</v>
      </c>
      <c r="N191">
        <v>1</v>
      </c>
      <c r="O191">
        <v>1</v>
      </c>
      <c r="R191">
        <v>1</v>
      </c>
      <c r="U191">
        <v>1</v>
      </c>
      <c r="X191">
        <v>1</v>
      </c>
      <c r="Y191">
        <v>1</v>
      </c>
      <c r="Z191">
        <v>1</v>
      </c>
      <c r="AC191">
        <v>1</v>
      </c>
      <c r="AE191">
        <v>1</v>
      </c>
      <c r="AG191">
        <v>1</v>
      </c>
      <c r="AH191">
        <f t="shared" si="5"/>
        <v>12</v>
      </c>
    </row>
    <row r="192" spans="2:34" ht="15.75" thickBot="1" x14ac:dyDescent="0.3">
      <c r="B192" s="21" t="s">
        <v>219</v>
      </c>
      <c r="C192" s="7" t="s">
        <v>222</v>
      </c>
      <c r="D192" s="7"/>
      <c r="E192" s="43">
        <v>34682</v>
      </c>
      <c r="F192" s="8">
        <f t="shared" ca="1" si="4"/>
        <v>29.44109589041096</v>
      </c>
      <c r="G192" s="7" t="s">
        <v>38</v>
      </c>
      <c r="H192" s="44">
        <v>1</v>
      </c>
      <c r="I192" s="44"/>
      <c r="J192" s="19"/>
      <c r="K192" s="19"/>
      <c r="L192">
        <v>1</v>
      </c>
      <c r="M192">
        <v>1</v>
      </c>
      <c r="N192">
        <v>1</v>
      </c>
      <c r="O192">
        <v>1</v>
      </c>
      <c r="R192">
        <v>1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B192">
        <v>1</v>
      </c>
      <c r="AC192">
        <v>1</v>
      </c>
      <c r="AD192">
        <v>1</v>
      </c>
      <c r="AH192">
        <f t="shared" si="5"/>
        <v>16</v>
      </c>
    </row>
    <row r="193" spans="2:34" ht="15.75" thickBot="1" x14ac:dyDescent="0.3">
      <c r="B193" s="21" t="s">
        <v>219</v>
      </c>
      <c r="C193" s="9" t="s">
        <v>223</v>
      </c>
      <c r="D193" s="9"/>
      <c r="E193" s="43">
        <v>31827</v>
      </c>
      <c r="F193" s="8">
        <f t="shared" ca="1" si="4"/>
        <v>37.263013698630139</v>
      </c>
      <c r="G193" s="7" t="s">
        <v>129</v>
      </c>
      <c r="H193" s="19"/>
      <c r="I193" s="19"/>
      <c r="J193" s="19"/>
      <c r="K193" s="19"/>
      <c r="N193">
        <v>1</v>
      </c>
      <c r="O193">
        <v>1</v>
      </c>
      <c r="P193">
        <v>1</v>
      </c>
      <c r="R193">
        <v>1</v>
      </c>
      <c r="S193">
        <v>1</v>
      </c>
      <c r="T193">
        <v>1</v>
      </c>
      <c r="X193">
        <v>1</v>
      </c>
      <c r="Y193">
        <v>1</v>
      </c>
      <c r="Z193">
        <v>1</v>
      </c>
      <c r="AB193">
        <v>1</v>
      </c>
      <c r="AC193">
        <v>1</v>
      </c>
      <c r="AD193">
        <v>1</v>
      </c>
      <c r="AF193">
        <v>1</v>
      </c>
      <c r="AG193">
        <v>1</v>
      </c>
      <c r="AH193">
        <f t="shared" si="5"/>
        <v>14</v>
      </c>
    </row>
    <row r="194" spans="2:34" ht="15.75" thickBot="1" x14ac:dyDescent="0.3">
      <c r="B194" s="21" t="s">
        <v>219</v>
      </c>
      <c r="C194" s="9" t="s">
        <v>224</v>
      </c>
      <c r="D194" s="9"/>
      <c r="E194" s="43">
        <v>34110</v>
      </c>
      <c r="F194" s="8">
        <f t="shared" ca="1" si="4"/>
        <v>31.008219178082193</v>
      </c>
      <c r="G194" s="9" t="s">
        <v>38</v>
      </c>
      <c r="H194" s="44">
        <v>1</v>
      </c>
      <c r="I194" s="44"/>
      <c r="J194" s="19"/>
      <c r="K194" s="19"/>
      <c r="L194">
        <v>1</v>
      </c>
      <c r="M194">
        <v>1</v>
      </c>
      <c r="N194">
        <v>1</v>
      </c>
      <c r="O194">
        <v>1</v>
      </c>
      <c r="P194">
        <v>1</v>
      </c>
      <c r="R194">
        <v>1</v>
      </c>
      <c r="S194">
        <v>1</v>
      </c>
      <c r="T194">
        <v>1</v>
      </c>
      <c r="U194">
        <v>1</v>
      </c>
      <c r="V194">
        <v>1</v>
      </c>
      <c r="W194">
        <v>1</v>
      </c>
      <c r="X194">
        <v>1</v>
      </c>
      <c r="Y194">
        <v>1</v>
      </c>
      <c r="Z194">
        <v>1</v>
      </c>
      <c r="AB194">
        <v>1</v>
      </c>
      <c r="AC194">
        <v>1</v>
      </c>
      <c r="AD194">
        <v>1</v>
      </c>
      <c r="AE194">
        <v>1</v>
      </c>
      <c r="AG194">
        <v>1</v>
      </c>
      <c r="AH194">
        <f t="shared" si="5"/>
        <v>19</v>
      </c>
    </row>
    <row r="195" spans="2:34" ht="15.75" thickBot="1" x14ac:dyDescent="0.3">
      <c r="B195" s="21" t="s">
        <v>219</v>
      </c>
      <c r="C195" s="10" t="s">
        <v>225</v>
      </c>
      <c r="D195" s="10"/>
      <c r="E195" s="43">
        <v>32712</v>
      </c>
      <c r="F195" s="8">
        <f t="shared" ref="F195:F252" ca="1" si="6">IFERROR(((TODAY()-E195)/365),"")</f>
        <v>34.838356164383562</v>
      </c>
      <c r="G195" s="7" t="s">
        <v>41</v>
      </c>
      <c r="H195" s="19"/>
      <c r="I195" s="19"/>
      <c r="J195" s="19"/>
      <c r="K195" s="19"/>
      <c r="M195">
        <v>1</v>
      </c>
      <c r="N195">
        <v>1</v>
      </c>
      <c r="O195">
        <v>1</v>
      </c>
      <c r="P195">
        <v>1</v>
      </c>
      <c r="R195">
        <v>1</v>
      </c>
      <c r="S195">
        <v>1</v>
      </c>
      <c r="T195">
        <v>1</v>
      </c>
      <c r="U195">
        <v>1</v>
      </c>
      <c r="V195">
        <v>1</v>
      </c>
      <c r="W195">
        <v>1</v>
      </c>
      <c r="X195">
        <v>1</v>
      </c>
      <c r="Y195">
        <v>1</v>
      </c>
      <c r="Z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>
        <v>1</v>
      </c>
      <c r="AH195">
        <f t="shared" si="5"/>
        <v>19</v>
      </c>
    </row>
    <row r="196" spans="2:34" ht="15.75" thickBot="1" x14ac:dyDescent="0.3">
      <c r="B196" s="21" t="s">
        <v>219</v>
      </c>
      <c r="C196" s="7" t="s">
        <v>226</v>
      </c>
      <c r="D196" s="7"/>
      <c r="E196" s="43">
        <v>31877</v>
      </c>
      <c r="F196" s="8">
        <f t="shared" ca="1" si="6"/>
        <v>37.126027397260273</v>
      </c>
      <c r="G196" s="7" t="s">
        <v>129</v>
      </c>
      <c r="H196" s="44">
        <v>1</v>
      </c>
      <c r="I196" s="44"/>
      <c r="J196" s="19"/>
      <c r="K196" s="19"/>
      <c r="N196">
        <v>1</v>
      </c>
      <c r="O196">
        <v>1</v>
      </c>
      <c r="P196">
        <v>1</v>
      </c>
      <c r="R196">
        <v>1</v>
      </c>
      <c r="S196">
        <v>1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AC196">
        <v>1</v>
      </c>
      <c r="AD196">
        <v>1</v>
      </c>
      <c r="AF196">
        <v>1</v>
      </c>
      <c r="AG196">
        <v>1</v>
      </c>
      <c r="AH196">
        <f t="shared" ref="AH196:AH252" si="7">SUM(L196:AG196)</f>
        <v>15</v>
      </c>
    </row>
    <row r="197" spans="2:34" ht="15.75" thickBot="1" x14ac:dyDescent="0.3">
      <c r="B197" s="21" t="s">
        <v>219</v>
      </c>
      <c r="C197" s="7" t="s">
        <v>227</v>
      </c>
      <c r="D197" s="7"/>
      <c r="E197" s="43">
        <v>36219</v>
      </c>
      <c r="F197" s="8">
        <f t="shared" ca="1" si="6"/>
        <v>25.230136986301371</v>
      </c>
      <c r="G197" s="7" t="s">
        <v>38</v>
      </c>
      <c r="H197" s="44"/>
      <c r="I197" s="44"/>
      <c r="J197" s="44"/>
      <c r="K197" s="19"/>
      <c r="L197">
        <v>1</v>
      </c>
      <c r="M197">
        <v>1</v>
      </c>
      <c r="N197">
        <v>1</v>
      </c>
      <c r="O197">
        <v>1</v>
      </c>
      <c r="P197">
        <v>1</v>
      </c>
      <c r="R197">
        <v>1</v>
      </c>
      <c r="S197">
        <v>1</v>
      </c>
      <c r="T197">
        <v>1</v>
      </c>
      <c r="U197">
        <v>1</v>
      </c>
      <c r="V197">
        <v>1</v>
      </c>
      <c r="W197">
        <v>1</v>
      </c>
      <c r="X197">
        <v>1</v>
      </c>
      <c r="Y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>
        <v>1</v>
      </c>
      <c r="AH197">
        <f t="shared" si="7"/>
        <v>19</v>
      </c>
    </row>
    <row r="198" spans="2:34" ht="15.75" thickBot="1" x14ac:dyDescent="0.3">
      <c r="B198" s="21" t="s">
        <v>219</v>
      </c>
      <c r="C198" s="7" t="s">
        <v>228</v>
      </c>
      <c r="D198" s="7"/>
      <c r="E198" s="43">
        <v>30913</v>
      </c>
      <c r="F198" s="8">
        <f t="shared" ca="1" si="6"/>
        <v>39.767123287671232</v>
      </c>
      <c r="G198" s="7" t="s">
        <v>38</v>
      </c>
      <c r="H198" s="19"/>
      <c r="I198" s="19"/>
      <c r="J198" s="19"/>
      <c r="K198" s="19"/>
      <c r="L198">
        <v>1</v>
      </c>
      <c r="M198">
        <v>1</v>
      </c>
      <c r="N198">
        <v>1</v>
      </c>
      <c r="O198">
        <v>1</v>
      </c>
      <c r="P198">
        <v>1</v>
      </c>
      <c r="S198">
        <v>1</v>
      </c>
      <c r="T198">
        <v>1</v>
      </c>
      <c r="U198">
        <v>1</v>
      </c>
      <c r="V198">
        <v>1</v>
      </c>
      <c r="W198">
        <v>1</v>
      </c>
      <c r="X198">
        <v>1</v>
      </c>
      <c r="Y198">
        <v>1</v>
      </c>
      <c r="Z198">
        <v>1</v>
      </c>
      <c r="AB198">
        <v>1</v>
      </c>
      <c r="AC198">
        <v>1</v>
      </c>
      <c r="AE198">
        <v>1</v>
      </c>
      <c r="AF198">
        <v>1</v>
      </c>
      <c r="AG198">
        <v>1</v>
      </c>
      <c r="AH198">
        <f t="shared" si="7"/>
        <v>18</v>
      </c>
    </row>
    <row r="199" spans="2:34" ht="15.75" thickBot="1" x14ac:dyDescent="0.3">
      <c r="B199" s="21" t="s">
        <v>219</v>
      </c>
      <c r="C199" s="7" t="s">
        <v>229</v>
      </c>
      <c r="D199" s="7"/>
      <c r="E199" s="43">
        <v>32656</v>
      </c>
      <c r="F199" s="8">
        <f t="shared" ca="1" si="6"/>
        <v>34.991780821917807</v>
      </c>
      <c r="G199" s="7" t="s">
        <v>41</v>
      </c>
      <c r="H199" s="19"/>
      <c r="I199" s="19"/>
      <c r="J199" s="19"/>
      <c r="K199" s="19"/>
      <c r="L199">
        <v>1</v>
      </c>
      <c r="M199">
        <v>1</v>
      </c>
      <c r="N199">
        <v>1</v>
      </c>
      <c r="O199">
        <v>1</v>
      </c>
      <c r="P199">
        <v>1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>
        <v>1</v>
      </c>
      <c r="AH199">
        <f t="shared" si="7"/>
        <v>19</v>
      </c>
    </row>
    <row r="200" spans="2:34" ht="15.75" thickBot="1" x14ac:dyDescent="0.3">
      <c r="B200" s="21" t="s">
        <v>219</v>
      </c>
      <c r="C200" s="7" t="s">
        <v>230</v>
      </c>
      <c r="D200" s="7"/>
      <c r="E200" s="43">
        <v>34128</v>
      </c>
      <c r="F200" s="8">
        <f t="shared" ca="1" si="6"/>
        <v>30.958904109589042</v>
      </c>
      <c r="G200" s="7" t="s">
        <v>38</v>
      </c>
      <c r="H200" s="19"/>
      <c r="I200" s="19"/>
      <c r="J200" s="19"/>
      <c r="K200" s="19"/>
      <c r="L200">
        <v>1</v>
      </c>
      <c r="M200">
        <v>1</v>
      </c>
      <c r="N200">
        <v>1</v>
      </c>
      <c r="O200">
        <v>1</v>
      </c>
      <c r="S200">
        <v>1</v>
      </c>
      <c r="T200">
        <v>1</v>
      </c>
      <c r="W200">
        <v>1</v>
      </c>
      <c r="X200">
        <v>1</v>
      </c>
      <c r="AE200">
        <v>1</v>
      </c>
      <c r="AF200">
        <v>1</v>
      </c>
      <c r="AG200">
        <v>1</v>
      </c>
      <c r="AH200">
        <f t="shared" si="7"/>
        <v>11</v>
      </c>
    </row>
    <row r="201" spans="2:34" ht="15.75" thickBot="1" x14ac:dyDescent="0.3">
      <c r="B201" s="21" t="s">
        <v>219</v>
      </c>
      <c r="C201" s="9" t="s">
        <v>231</v>
      </c>
      <c r="D201" s="9"/>
      <c r="E201" s="43">
        <v>36409</v>
      </c>
      <c r="F201" s="8">
        <f t="shared" ca="1" si="6"/>
        <v>24.709589041095889</v>
      </c>
      <c r="G201" s="7" t="s">
        <v>38</v>
      </c>
      <c r="H201" s="19"/>
      <c r="I201" s="19"/>
      <c r="J201" s="19"/>
      <c r="K201" s="19"/>
      <c r="L201">
        <v>1</v>
      </c>
      <c r="M201">
        <v>1</v>
      </c>
      <c r="U201">
        <v>1</v>
      </c>
      <c r="AH201">
        <f t="shared" si="7"/>
        <v>3</v>
      </c>
    </row>
    <row r="202" spans="2:34" ht="15.75" thickBot="1" x14ac:dyDescent="0.3">
      <c r="B202" s="21" t="s">
        <v>219</v>
      </c>
      <c r="C202" s="9" t="s">
        <v>232</v>
      </c>
      <c r="D202" s="9"/>
      <c r="E202" s="43">
        <v>32115</v>
      </c>
      <c r="F202" s="8">
        <f t="shared" ca="1" si="6"/>
        <v>36.473972602739728</v>
      </c>
      <c r="G202" s="7" t="s">
        <v>38</v>
      </c>
      <c r="H202" s="19"/>
      <c r="I202" s="19"/>
      <c r="J202" s="19"/>
      <c r="K202" s="19"/>
      <c r="Y202">
        <v>1</v>
      </c>
      <c r="AD202">
        <v>1</v>
      </c>
      <c r="AE202">
        <v>1</v>
      </c>
      <c r="AF202">
        <v>1</v>
      </c>
      <c r="AH202">
        <f t="shared" si="7"/>
        <v>4</v>
      </c>
    </row>
    <row r="203" spans="2:34" ht="15.75" thickBot="1" x14ac:dyDescent="0.3">
      <c r="B203" s="21" t="s">
        <v>219</v>
      </c>
      <c r="C203" s="7" t="s">
        <v>233</v>
      </c>
      <c r="D203" s="7"/>
      <c r="E203" s="43">
        <v>33844</v>
      </c>
      <c r="F203" s="8">
        <f t="shared" ca="1" si="6"/>
        <v>31.736986301369864</v>
      </c>
      <c r="G203" s="7" t="s">
        <v>38</v>
      </c>
      <c r="H203" s="19"/>
      <c r="I203" s="19"/>
      <c r="J203" s="19"/>
      <c r="K203" s="19"/>
      <c r="L203">
        <v>1</v>
      </c>
      <c r="M203">
        <v>1</v>
      </c>
      <c r="N203">
        <v>1</v>
      </c>
      <c r="O203">
        <v>1</v>
      </c>
      <c r="P203">
        <v>1</v>
      </c>
      <c r="R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>
        <v>1</v>
      </c>
      <c r="AH203">
        <f t="shared" si="7"/>
        <v>18</v>
      </c>
    </row>
    <row r="204" spans="2:34" ht="15.75" thickBot="1" x14ac:dyDescent="0.3">
      <c r="B204" s="21" t="s">
        <v>219</v>
      </c>
      <c r="C204" s="10" t="s">
        <v>234</v>
      </c>
      <c r="D204" s="10"/>
      <c r="E204" s="43">
        <v>34037</v>
      </c>
      <c r="F204" s="8">
        <f t="shared" ca="1" si="6"/>
        <v>31.208219178082192</v>
      </c>
      <c r="G204" s="7" t="s">
        <v>38</v>
      </c>
      <c r="H204" s="19"/>
      <c r="I204" s="19"/>
      <c r="J204" s="19"/>
      <c r="K204" s="19"/>
      <c r="L204">
        <v>1</v>
      </c>
      <c r="M204">
        <v>1</v>
      </c>
      <c r="O204">
        <v>1</v>
      </c>
      <c r="P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X204">
        <v>1</v>
      </c>
      <c r="Y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f t="shared" si="7"/>
        <v>17</v>
      </c>
    </row>
    <row r="205" spans="2:34" ht="15.75" thickBot="1" x14ac:dyDescent="0.3">
      <c r="B205" s="21" t="s">
        <v>219</v>
      </c>
      <c r="C205" s="14" t="s">
        <v>235</v>
      </c>
      <c r="D205" s="14"/>
      <c r="E205" s="43">
        <v>35027</v>
      </c>
      <c r="F205" s="8">
        <f t="shared" ca="1" si="6"/>
        <v>28.495890410958904</v>
      </c>
      <c r="G205" s="7" t="s">
        <v>38</v>
      </c>
      <c r="H205" s="19"/>
      <c r="I205" s="19"/>
      <c r="J205" s="19"/>
      <c r="K205" s="19"/>
      <c r="L205">
        <v>1</v>
      </c>
      <c r="M205">
        <v>1</v>
      </c>
      <c r="N205">
        <v>1</v>
      </c>
      <c r="P205">
        <v>1</v>
      </c>
      <c r="T205">
        <v>1</v>
      </c>
      <c r="U205">
        <v>1</v>
      </c>
      <c r="V205">
        <v>1</v>
      </c>
      <c r="W205">
        <v>1</v>
      </c>
      <c r="Z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>
        <v>1</v>
      </c>
      <c r="AH205">
        <f t="shared" si="7"/>
        <v>15</v>
      </c>
    </row>
    <row r="206" spans="2:34" ht="15.75" thickBot="1" x14ac:dyDescent="0.3">
      <c r="B206" s="22" t="s">
        <v>236</v>
      </c>
      <c r="C206" s="10" t="s">
        <v>237</v>
      </c>
      <c r="D206" s="10"/>
      <c r="E206" s="43">
        <v>32174</v>
      </c>
      <c r="F206" s="8">
        <f t="shared" ca="1" si="6"/>
        <v>36.31232876712329</v>
      </c>
      <c r="G206" s="7" t="s">
        <v>41</v>
      </c>
      <c r="H206" s="44"/>
      <c r="I206" s="44"/>
      <c r="J206" s="19"/>
      <c r="K206" s="19"/>
      <c r="L206">
        <v>1</v>
      </c>
      <c r="M206">
        <v>1</v>
      </c>
      <c r="N206">
        <v>1</v>
      </c>
      <c r="O206">
        <v>1</v>
      </c>
      <c r="P206">
        <v>1</v>
      </c>
      <c r="Q206">
        <v>1</v>
      </c>
      <c r="AH206">
        <f t="shared" si="7"/>
        <v>6</v>
      </c>
    </row>
    <row r="207" spans="2:34" ht="15.75" thickBot="1" x14ac:dyDescent="0.3">
      <c r="B207" s="22" t="s">
        <v>236</v>
      </c>
      <c r="C207" s="10" t="s">
        <v>238</v>
      </c>
      <c r="D207" s="10"/>
      <c r="E207" s="43">
        <v>35901</v>
      </c>
      <c r="F207" s="8">
        <f t="shared" ca="1" si="6"/>
        <v>26.101369863013698</v>
      </c>
      <c r="G207" s="7" t="s">
        <v>61</v>
      </c>
      <c r="H207" s="19"/>
      <c r="I207" s="19"/>
      <c r="J207" s="19"/>
      <c r="K207" s="19"/>
      <c r="L207">
        <v>1</v>
      </c>
      <c r="M207">
        <v>1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U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G207">
        <v>1</v>
      </c>
      <c r="AH207">
        <f t="shared" si="7"/>
        <v>19</v>
      </c>
    </row>
    <row r="208" spans="2:34" ht="15.75" thickBot="1" x14ac:dyDescent="0.3">
      <c r="B208" s="22" t="s">
        <v>236</v>
      </c>
      <c r="C208" s="10" t="s">
        <v>239</v>
      </c>
      <c r="D208" s="10"/>
      <c r="E208" s="43">
        <v>30187</v>
      </c>
      <c r="F208" s="8">
        <f t="shared" ca="1" si="6"/>
        <v>41.756164383561647</v>
      </c>
      <c r="G208" s="7" t="s">
        <v>61</v>
      </c>
      <c r="H208" s="19"/>
      <c r="I208" s="19"/>
      <c r="J208" s="19"/>
      <c r="K208" s="19"/>
      <c r="L208">
        <v>1</v>
      </c>
      <c r="P208">
        <v>1</v>
      </c>
      <c r="R208">
        <v>1</v>
      </c>
      <c r="AH208">
        <f t="shared" si="7"/>
        <v>3</v>
      </c>
    </row>
    <row r="209" spans="2:34" ht="15.75" thickBot="1" x14ac:dyDescent="0.3">
      <c r="B209" s="22" t="s">
        <v>236</v>
      </c>
      <c r="C209" s="7" t="s">
        <v>240</v>
      </c>
      <c r="D209" s="7"/>
      <c r="E209" s="43">
        <v>34128</v>
      </c>
      <c r="F209" s="8">
        <f t="shared" ca="1" si="6"/>
        <v>30.958904109589042</v>
      </c>
      <c r="G209" s="7" t="s">
        <v>41</v>
      </c>
      <c r="H209" s="19"/>
      <c r="I209" s="19"/>
      <c r="J209" s="19"/>
      <c r="K209" s="19"/>
      <c r="L209">
        <v>1</v>
      </c>
      <c r="M209">
        <v>1</v>
      </c>
      <c r="N209">
        <v>1</v>
      </c>
      <c r="O209">
        <v>1</v>
      </c>
      <c r="P209">
        <v>1</v>
      </c>
      <c r="Q209">
        <v>1</v>
      </c>
      <c r="R209">
        <v>1</v>
      </c>
      <c r="S209">
        <v>1</v>
      </c>
      <c r="U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G209">
        <v>1</v>
      </c>
      <c r="AH209">
        <f t="shared" si="7"/>
        <v>19</v>
      </c>
    </row>
    <row r="210" spans="2:34" ht="15.75" thickBot="1" x14ac:dyDescent="0.3">
      <c r="B210" s="22" t="s">
        <v>236</v>
      </c>
      <c r="C210" s="7" t="s">
        <v>241</v>
      </c>
      <c r="D210" s="7"/>
      <c r="E210" s="43">
        <v>32796</v>
      </c>
      <c r="F210" s="8">
        <f t="shared" ca="1" si="6"/>
        <v>34.608219178082194</v>
      </c>
      <c r="G210" s="7" t="s">
        <v>38</v>
      </c>
      <c r="H210" s="19"/>
      <c r="I210" s="19"/>
      <c r="J210" s="19"/>
      <c r="K210" s="19"/>
      <c r="L210">
        <v>1</v>
      </c>
      <c r="AH210">
        <f t="shared" si="7"/>
        <v>1</v>
      </c>
    </row>
    <row r="211" spans="2:34" ht="15.75" thickBot="1" x14ac:dyDescent="0.3">
      <c r="B211" s="22" t="s">
        <v>236</v>
      </c>
      <c r="C211" s="7" t="s">
        <v>242</v>
      </c>
      <c r="D211" s="7"/>
      <c r="E211" s="43">
        <v>34486</v>
      </c>
      <c r="F211" s="8">
        <f t="shared" ca="1" si="6"/>
        <v>29.978082191780821</v>
      </c>
      <c r="G211" s="7" t="s">
        <v>38</v>
      </c>
      <c r="H211" s="44">
        <v>1</v>
      </c>
      <c r="I211" s="44"/>
      <c r="J211" s="19"/>
      <c r="K211" s="19"/>
      <c r="M211">
        <v>1</v>
      </c>
      <c r="N211">
        <v>1</v>
      </c>
      <c r="O211">
        <v>1</v>
      </c>
      <c r="P211">
        <v>1</v>
      </c>
      <c r="Q211">
        <v>1</v>
      </c>
      <c r="R211">
        <v>1</v>
      </c>
      <c r="S211">
        <v>1</v>
      </c>
      <c r="T211">
        <v>1</v>
      </c>
      <c r="U211">
        <v>1</v>
      </c>
      <c r="W211">
        <v>1</v>
      </c>
      <c r="X211">
        <v>1</v>
      </c>
      <c r="Y211">
        <v>1</v>
      </c>
      <c r="Z211" s="12">
        <v>1</v>
      </c>
      <c r="AA211" s="12">
        <v>1</v>
      </c>
      <c r="AB211">
        <v>1</v>
      </c>
      <c r="AC211">
        <v>1</v>
      </c>
      <c r="AD211">
        <v>1</v>
      </c>
      <c r="AH211">
        <f t="shared" si="7"/>
        <v>17</v>
      </c>
    </row>
    <row r="212" spans="2:34" ht="15.75" thickBot="1" x14ac:dyDescent="0.3">
      <c r="B212" s="22" t="s">
        <v>236</v>
      </c>
      <c r="C212" s="7" t="s">
        <v>339</v>
      </c>
      <c r="D212" s="7"/>
      <c r="E212" s="43">
        <v>34315</v>
      </c>
      <c r="F212" s="8">
        <f t="shared" ca="1" si="6"/>
        <v>30.446575342465753</v>
      </c>
      <c r="G212" s="7" t="s">
        <v>61</v>
      </c>
      <c r="H212" s="19"/>
      <c r="I212" s="19"/>
      <c r="J212" s="19"/>
      <c r="K212" s="19"/>
      <c r="AH212">
        <f t="shared" si="7"/>
        <v>0</v>
      </c>
    </row>
    <row r="213" spans="2:34" ht="15.75" thickBot="1" x14ac:dyDescent="0.3">
      <c r="B213" s="22" t="s">
        <v>236</v>
      </c>
      <c r="C213" s="7" t="s">
        <v>243</v>
      </c>
      <c r="D213" s="7"/>
      <c r="E213" s="43">
        <v>30617</v>
      </c>
      <c r="F213" s="8">
        <f t="shared" ca="1" si="6"/>
        <v>40.578082191780823</v>
      </c>
      <c r="G213" s="7" t="s">
        <v>244</v>
      </c>
      <c r="H213" s="19"/>
      <c r="I213" s="19"/>
      <c r="J213" s="19"/>
      <c r="K213" s="19"/>
      <c r="L213">
        <v>1</v>
      </c>
      <c r="M213">
        <v>1</v>
      </c>
      <c r="N213">
        <v>1</v>
      </c>
      <c r="O213">
        <v>1</v>
      </c>
      <c r="P213">
        <v>1</v>
      </c>
      <c r="Q213">
        <v>1</v>
      </c>
      <c r="R213">
        <v>1</v>
      </c>
      <c r="S213">
        <v>1</v>
      </c>
      <c r="T213">
        <v>1</v>
      </c>
      <c r="U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G213">
        <v>1</v>
      </c>
      <c r="AH213">
        <f t="shared" si="7"/>
        <v>20</v>
      </c>
    </row>
    <row r="214" spans="2:34" ht="15.75" thickBot="1" x14ac:dyDescent="0.3">
      <c r="B214" s="22" t="s">
        <v>236</v>
      </c>
      <c r="C214" s="10" t="s">
        <v>245</v>
      </c>
      <c r="D214" s="10"/>
      <c r="E214" s="43">
        <v>31317</v>
      </c>
      <c r="F214" s="8">
        <f t="shared" ca="1" si="6"/>
        <v>38.660273972602738</v>
      </c>
      <c r="G214" s="7" t="s">
        <v>131</v>
      </c>
      <c r="H214" s="19"/>
      <c r="I214" s="19"/>
      <c r="J214" s="19"/>
      <c r="K214" s="19"/>
      <c r="L214">
        <v>1</v>
      </c>
      <c r="M214">
        <v>1</v>
      </c>
      <c r="N214">
        <v>1</v>
      </c>
      <c r="O214">
        <v>1</v>
      </c>
      <c r="P214">
        <v>1</v>
      </c>
      <c r="Q214">
        <v>1</v>
      </c>
      <c r="R214">
        <v>1</v>
      </c>
      <c r="T214">
        <v>1</v>
      </c>
      <c r="U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G214">
        <v>1</v>
      </c>
      <c r="AH214">
        <f t="shared" si="7"/>
        <v>19</v>
      </c>
    </row>
    <row r="215" spans="2:34" ht="15.75" thickBot="1" x14ac:dyDescent="0.3">
      <c r="B215" s="22" t="s">
        <v>236</v>
      </c>
      <c r="C215" s="14" t="s">
        <v>246</v>
      </c>
      <c r="D215" s="14"/>
      <c r="E215" s="43">
        <v>35039</v>
      </c>
      <c r="F215" s="8">
        <f t="shared" ca="1" si="6"/>
        <v>28.463013698630139</v>
      </c>
      <c r="G215" s="7" t="s">
        <v>41</v>
      </c>
      <c r="H215" s="19"/>
      <c r="I215" s="19"/>
      <c r="J215" s="19"/>
      <c r="K215" s="19"/>
      <c r="L215">
        <v>1</v>
      </c>
      <c r="M215">
        <v>1</v>
      </c>
      <c r="N215">
        <v>1</v>
      </c>
      <c r="O215">
        <v>1</v>
      </c>
      <c r="P215">
        <v>1</v>
      </c>
      <c r="Q215">
        <v>1</v>
      </c>
      <c r="R215">
        <v>1</v>
      </c>
      <c r="S215">
        <v>1</v>
      </c>
      <c r="T215">
        <v>1</v>
      </c>
      <c r="U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G215">
        <v>1</v>
      </c>
      <c r="AH215">
        <f t="shared" si="7"/>
        <v>20</v>
      </c>
    </row>
    <row r="216" spans="2:34" ht="15.75" thickBot="1" x14ac:dyDescent="0.3">
      <c r="B216" s="22" t="s">
        <v>236</v>
      </c>
      <c r="C216" s="14" t="s">
        <v>247</v>
      </c>
      <c r="D216" s="14"/>
      <c r="E216" s="43">
        <v>35908</v>
      </c>
      <c r="F216" s="8">
        <f t="shared" ca="1" si="6"/>
        <v>26.082191780821919</v>
      </c>
      <c r="G216" s="7" t="s">
        <v>38</v>
      </c>
      <c r="H216" s="19"/>
      <c r="I216" s="19"/>
      <c r="J216" s="19"/>
      <c r="K216" s="19"/>
      <c r="L216">
        <v>1</v>
      </c>
      <c r="M216">
        <v>1</v>
      </c>
      <c r="N216">
        <v>1</v>
      </c>
      <c r="O216">
        <v>1</v>
      </c>
      <c r="P216">
        <v>1</v>
      </c>
      <c r="Q216">
        <v>1</v>
      </c>
      <c r="R216">
        <v>1</v>
      </c>
      <c r="U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H216">
        <f t="shared" si="7"/>
        <v>17</v>
      </c>
    </row>
    <row r="217" spans="2:34" ht="15.75" thickBot="1" x14ac:dyDescent="0.3">
      <c r="B217" s="22" t="s">
        <v>236</v>
      </c>
      <c r="C217" s="10" t="s">
        <v>340</v>
      </c>
      <c r="D217" s="10"/>
      <c r="E217" s="43">
        <v>37338</v>
      </c>
      <c r="F217" s="8">
        <f t="shared" ca="1" si="6"/>
        <v>22.164383561643834</v>
      </c>
      <c r="G217" s="7" t="s">
        <v>38</v>
      </c>
      <c r="H217" s="19"/>
      <c r="I217" s="19"/>
      <c r="J217" s="19"/>
      <c r="K217" s="19"/>
      <c r="AH217">
        <f t="shared" si="7"/>
        <v>0</v>
      </c>
    </row>
    <row r="218" spans="2:34" ht="15.75" thickBot="1" x14ac:dyDescent="0.3">
      <c r="B218" s="22" t="s">
        <v>236</v>
      </c>
      <c r="C218" s="14" t="s">
        <v>248</v>
      </c>
      <c r="D218" s="14"/>
      <c r="E218" s="43">
        <v>35130</v>
      </c>
      <c r="F218" s="8">
        <f t="shared" ca="1" si="6"/>
        <v>28.213698630136985</v>
      </c>
      <c r="G218" s="7" t="s">
        <v>41</v>
      </c>
      <c r="H218" s="44"/>
      <c r="I218" s="44"/>
      <c r="J218" s="19"/>
      <c r="K218" s="19"/>
      <c r="L218">
        <v>1</v>
      </c>
      <c r="M218">
        <v>1</v>
      </c>
      <c r="N218">
        <v>1</v>
      </c>
      <c r="O218">
        <v>1</v>
      </c>
      <c r="P218">
        <v>1</v>
      </c>
      <c r="Q218">
        <v>1</v>
      </c>
      <c r="R218">
        <v>1</v>
      </c>
      <c r="S218">
        <v>1</v>
      </c>
      <c r="T218">
        <v>1</v>
      </c>
      <c r="U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G218">
        <v>1</v>
      </c>
      <c r="AH218">
        <f t="shared" si="7"/>
        <v>20</v>
      </c>
    </row>
    <row r="219" spans="2:34" ht="15.75" thickBot="1" x14ac:dyDescent="0.3">
      <c r="B219" s="22" t="s">
        <v>236</v>
      </c>
      <c r="C219" s="14" t="s">
        <v>249</v>
      </c>
      <c r="D219" s="14"/>
      <c r="E219" s="43">
        <v>34937</v>
      </c>
      <c r="F219" s="8">
        <f t="shared" ca="1" si="6"/>
        <v>28.742465753424657</v>
      </c>
      <c r="G219" s="7" t="s">
        <v>41</v>
      </c>
      <c r="H219" s="19"/>
      <c r="I219" s="19"/>
      <c r="J219" s="19"/>
      <c r="K219" s="19"/>
      <c r="R219">
        <v>1</v>
      </c>
      <c r="S219">
        <v>1</v>
      </c>
      <c r="T219">
        <v>1</v>
      </c>
      <c r="U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H219">
        <f t="shared" si="7"/>
        <v>13</v>
      </c>
    </row>
    <row r="220" spans="2:34" ht="15.75" thickBot="1" x14ac:dyDescent="0.3">
      <c r="B220" s="22" t="s">
        <v>236</v>
      </c>
      <c r="C220" s="10" t="s">
        <v>250</v>
      </c>
      <c r="D220" s="10"/>
      <c r="E220" s="43">
        <v>35667</v>
      </c>
      <c r="F220" s="8">
        <f t="shared" ca="1" si="6"/>
        <v>26.742465753424657</v>
      </c>
      <c r="G220" s="7" t="s">
        <v>61</v>
      </c>
      <c r="H220" s="44"/>
      <c r="I220" s="44"/>
      <c r="J220" s="19"/>
      <c r="K220" s="19"/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G220">
        <v>1</v>
      </c>
      <c r="AH220">
        <f t="shared" si="7"/>
        <v>10</v>
      </c>
    </row>
    <row r="221" spans="2:34" ht="15.75" thickBot="1" x14ac:dyDescent="0.3">
      <c r="B221" s="22" t="s">
        <v>236</v>
      </c>
      <c r="C221" s="10" t="s">
        <v>341</v>
      </c>
      <c r="D221" s="10"/>
      <c r="E221" s="43">
        <v>35483</v>
      </c>
      <c r="F221" s="8">
        <f t="shared" ca="1" si="6"/>
        <v>27.246575342465754</v>
      </c>
      <c r="G221" s="10" t="s">
        <v>38</v>
      </c>
      <c r="H221" s="19"/>
      <c r="I221" s="19"/>
      <c r="J221" s="19"/>
      <c r="K221" s="19"/>
      <c r="AH221">
        <f t="shared" si="7"/>
        <v>0</v>
      </c>
    </row>
    <row r="222" spans="2:34" ht="15.75" thickBot="1" x14ac:dyDescent="0.3">
      <c r="B222" s="22" t="s">
        <v>236</v>
      </c>
      <c r="C222" s="10" t="s">
        <v>342</v>
      </c>
      <c r="D222" s="10"/>
      <c r="E222" s="43">
        <v>34652</v>
      </c>
      <c r="F222" s="8">
        <f t="shared" ca="1" si="6"/>
        <v>29.523287671232875</v>
      </c>
      <c r="G222" s="7" t="s">
        <v>138</v>
      </c>
      <c r="H222" s="44">
        <v>1</v>
      </c>
      <c r="I222" s="44"/>
      <c r="J222" s="19"/>
      <c r="K222" s="19"/>
      <c r="AH222">
        <f t="shared" si="7"/>
        <v>0</v>
      </c>
    </row>
    <row r="223" spans="2:34" ht="15.75" thickBot="1" x14ac:dyDescent="0.3">
      <c r="B223" s="22" t="s">
        <v>236</v>
      </c>
      <c r="C223" s="10" t="s">
        <v>251</v>
      </c>
      <c r="D223" s="10"/>
      <c r="E223" s="43">
        <v>36506</v>
      </c>
      <c r="F223" s="8">
        <f t="shared" ca="1" si="6"/>
        <v>24.443835616438356</v>
      </c>
      <c r="G223" s="7" t="s">
        <v>252</v>
      </c>
      <c r="H223" s="19"/>
      <c r="I223" s="19"/>
      <c r="J223" s="19"/>
      <c r="K223" s="19"/>
      <c r="W223">
        <v>1</v>
      </c>
      <c r="X223">
        <v>1</v>
      </c>
      <c r="Y223">
        <v>1</v>
      </c>
      <c r="Z223">
        <v>1</v>
      </c>
      <c r="AA223" s="12">
        <v>1</v>
      </c>
      <c r="AB223">
        <v>1</v>
      </c>
      <c r="AC223">
        <v>1</v>
      </c>
      <c r="AD223">
        <v>1</v>
      </c>
      <c r="AE223">
        <v>1</v>
      </c>
      <c r="AH223">
        <f t="shared" si="7"/>
        <v>9</v>
      </c>
    </row>
    <row r="224" spans="2:34" ht="15.75" thickBot="1" x14ac:dyDescent="0.3">
      <c r="B224" s="22" t="s">
        <v>236</v>
      </c>
      <c r="C224" s="10" t="s">
        <v>343</v>
      </c>
      <c r="D224" s="10"/>
      <c r="E224" s="43">
        <v>32468</v>
      </c>
      <c r="F224" s="8">
        <f t="shared" ca="1" si="6"/>
        <v>35.506849315068493</v>
      </c>
      <c r="G224" s="7" t="s">
        <v>41</v>
      </c>
      <c r="H224" s="19"/>
      <c r="I224" s="19"/>
      <c r="J224" s="19"/>
      <c r="K224" s="19"/>
      <c r="AH224">
        <f t="shared" si="7"/>
        <v>0</v>
      </c>
    </row>
    <row r="225" spans="2:34" ht="15.75" thickBot="1" x14ac:dyDescent="0.3">
      <c r="B225" s="22" t="s">
        <v>236</v>
      </c>
      <c r="C225" s="10" t="s">
        <v>253</v>
      </c>
      <c r="D225" s="10"/>
      <c r="E225" s="43">
        <v>38518</v>
      </c>
      <c r="F225" s="8">
        <f t="shared" ca="1" si="6"/>
        <v>18.931506849315067</v>
      </c>
      <c r="G225" s="7" t="s">
        <v>38</v>
      </c>
      <c r="H225" s="19"/>
      <c r="I225" s="19"/>
      <c r="J225" s="19"/>
      <c r="K225" s="19">
        <v>1</v>
      </c>
      <c r="R225">
        <v>1</v>
      </c>
      <c r="T225">
        <v>1</v>
      </c>
      <c r="AD225">
        <v>1</v>
      </c>
      <c r="AH225">
        <f t="shared" si="7"/>
        <v>3</v>
      </c>
    </row>
    <row r="226" spans="2:34" ht="15.75" thickBot="1" x14ac:dyDescent="0.3">
      <c r="B226" s="22" t="s">
        <v>236</v>
      </c>
      <c r="C226" s="10" t="s">
        <v>344</v>
      </c>
      <c r="D226" s="10"/>
      <c r="E226" s="43"/>
      <c r="F226" s="8"/>
      <c r="G226" s="7"/>
      <c r="H226" s="19"/>
      <c r="I226" s="19"/>
      <c r="J226" s="19"/>
      <c r="K226" s="19"/>
      <c r="AG226">
        <v>1</v>
      </c>
      <c r="AH226">
        <f t="shared" si="7"/>
        <v>1</v>
      </c>
    </row>
    <row r="227" spans="2:34" ht="15.75" thickBot="1" x14ac:dyDescent="0.3">
      <c r="B227" s="22" t="s">
        <v>236</v>
      </c>
      <c r="C227" s="10" t="s">
        <v>254</v>
      </c>
      <c r="D227" s="10"/>
      <c r="E227" s="43">
        <v>31144</v>
      </c>
      <c r="F227" s="8">
        <f t="shared" ca="1" si="6"/>
        <v>39.134246575342466</v>
      </c>
      <c r="G227" s="7" t="s">
        <v>41</v>
      </c>
      <c r="H227" s="19"/>
      <c r="I227" s="19"/>
      <c r="J227" s="19"/>
      <c r="K227" s="19"/>
      <c r="L227">
        <v>1</v>
      </c>
      <c r="M227">
        <v>1</v>
      </c>
      <c r="N227">
        <v>1</v>
      </c>
      <c r="O227">
        <v>1</v>
      </c>
      <c r="P227">
        <v>1</v>
      </c>
      <c r="Q227">
        <v>1</v>
      </c>
      <c r="R227">
        <v>1</v>
      </c>
      <c r="S227">
        <v>1</v>
      </c>
      <c r="T227">
        <v>1</v>
      </c>
      <c r="U227">
        <v>1</v>
      </c>
      <c r="W227">
        <v>1</v>
      </c>
      <c r="AH227">
        <f t="shared" si="7"/>
        <v>11</v>
      </c>
    </row>
    <row r="228" spans="2:34" ht="15.75" thickBot="1" x14ac:dyDescent="0.3">
      <c r="B228" s="22" t="s">
        <v>236</v>
      </c>
      <c r="C228" s="10" t="s">
        <v>255</v>
      </c>
      <c r="D228" s="10"/>
      <c r="E228" s="43">
        <v>36872</v>
      </c>
      <c r="F228" s="8">
        <f t="shared" ca="1" si="6"/>
        <v>23.44109589041096</v>
      </c>
      <c r="G228" s="7" t="s">
        <v>38</v>
      </c>
      <c r="H228" s="19"/>
      <c r="I228" s="19"/>
      <c r="J228" s="19"/>
      <c r="K228" s="19"/>
      <c r="L228">
        <v>1</v>
      </c>
      <c r="Y228">
        <v>1</v>
      </c>
      <c r="AH228">
        <f t="shared" si="7"/>
        <v>2</v>
      </c>
    </row>
    <row r="229" spans="2:34" ht="15.75" thickBot="1" x14ac:dyDescent="0.3">
      <c r="B229" s="23" t="s">
        <v>256</v>
      </c>
      <c r="C229" s="14" t="s">
        <v>257</v>
      </c>
      <c r="D229" s="14"/>
      <c r="E229" s="43">
        <v>37179</v>
      </c>
      <c r="F229" s="8">
        <f t="shared" ca="1" si="6"/>
        <v>22.6</v>
      </c>
      <c r="G229" s="7" t="s">
        <v>38</v>
      </c>
      <c r="H229" s="19"/>
      <c r="I229" s="19"/>
      <c r="J229" s="19"/>
      <c r="K229" s="19"/>
      <c r="S229">
        <v>1</v>
      </c>
      <c r="W229">
        <v>1</v>
      </c>
      <c r="AD229">
        <v>1</v>
      </c>
      <c r="AE229">
        <v>1</v>
      </c>
      <c r="AH229">
        <f t="shared" si="7"/>
        <v>4</v>
      </c>
    </row>
    <row r="230" spans="2:34" ht="15.75" thickBot="1" x14ac:dyDescent="0.3">
      <c r="B230" s="23" t="s">
        <v>256</v>
      </c>
      <c r="C230" s="10" t="s">
        <v>258</v>
      </c>
      <c r="D230" s="10"/>
      <c r="E230" s="43">
        <v>35961</v>
      </c>
      <c r="F230" s="8">
        <f t="shared" ca="1" si="6"/>
        <v>25.936986301369863</v>
      </c>
      <c r="G230" s="7" t="s">
        <v>38</v>
      </c>
      <c r="L230">
        <v>1</v>
      </c>
      <c r="M230">
        <v>1</v>
      </c>
      <c r="N230">
        <v>1</v>
      </c>
      <c r="P230">
        <v>1</v>
      </c>
      <c r="Q230">
        <v>1</v>
      </c>
      <c r="R230">
        <v>1</v>
      </c>
      <c r="S230">
        <v>1</v>
      </c>
      <c r="T230">
        <v>1</v>
      </c>
      <c r="X230">
        <v>1</v>
      </c>
      <c r="Z230">
        <v>1</v>
      </c>
      <c r="AA230">
        <v>1</v>
      </c>
      <c r="AE230">
        <v>1</v>
      </c>
      <c r="AF230">
        <v>1</v>
      </c>
      <c r="AG230">
        <v>1</v>
      </c>
      <c r="AH230">
        <f t="shared" si="7"/>
        <v>14</v>
      </c>
    </row>
    <row r="231" spans="2:34" ht="15.75" thickBot="1" x14ac:dyDescent="0.3">
      <c r="B231" s="23" t="s">
        <v>256</v>
      </c>
      <c r="C231" s="14" t="s">
        <v>259</v>
      </c>
      <c r="D231" s="14"/>
      <c r="E231" s="43">
        <v>31360</v>
      </c>
      <c r="F231" s="8">
        <f t="shared" ca="1" si="6"/>
        <v>38.542465753424658</v>
      </c>
      <c r="G231" s="7" t="s">
        <v>38</v>
      </c>
      <c r="H231" s="19"/>
      <c r="I231" s="19"/>
      <c r="J231" s="19"/>
      <c r="K231" s="19"/>
      <c r="T231">
        <v>1</v>
      </c>
      <c r="W231">
        <v>1</v>
      </c>
      <c r="AH231">
        <f t="shared" si="7"/>
        <v>2</v>
      </c>
    </row>
    <row r="232" spans="2:34" ht="15.75" thickBot="1" x14ac:dyDescent="0.3">
      <c r="B232" s="23" t="s">
        <v>256</v>
      </c>
      <c r="C232" s="10" t="s">
        <v>260</v>
      </c>
      <c r="D232" s="10"/>
      <c r="E232" s="43">
        <v>34252</v>
      </c>
      <c r="F232" s="8">
        <f t="shared" ca="1" si="6"/>
        <v>30.61917808219178</v>
      </c>
      <c r="G232" s="7" t="s">
        <v>61</v>
      </c>
      <c r="H232" s="19"/>
      <c r="I232" s="19"/>
      <c r="J232" s="19"/>
      <c r="K232" s="19"/>
      <c r="L232">
        <v>1</v>
      </c>
      <c r="M232">
        <v>1</v>
      </c>
      <c r="N232">
        <v>1</v>
      </c>
      <c r="P232">
        <v>1</v>
      </c>
      <c r="Q232">
        <v>1</v>
      </c>
      <c r="R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H232">
        <f t="shared" si="7"/>
        <v>16</v>
      </c>
    </row>
    <row r="233" spans="2:34" ht="15.75" thickBot="1" x14ac:dyDescent="0.3">
      <c r="B233" s="23" t="s">
        <v>256</v>
      </c>
      <c r="C233" s="10" t="s">
        <v>261</v>
      </c>
      <c r="D233" s="10"/>
      <c r="E233" s="43">
        <v>35907</v>
      </c>
      <c r="F233" s="8">
        <f t="shared" ca="1" si="6"/>
        <v>26.084931506849315</v>
      </c>
      <c r="G233" s="7" t="s">
        <v>126</v>
      </c>
      <c r="H233" s="44">
        <v>1</v>
      </c>
      <c r="I233" s="44"/>
      <c r="J233" s="19"/>
      <c r="K233" s="19"/>
      <c r="L233">
        <v>1</v>
      </c>
      <c r="M233">
        <v>1</v>
      </c>
      <c r="N233">
        <v>1</v>
      </c>
      <c r="P233">
        <v>1</v>
      </c>
      <c r="Q233">
        <v>1</v>
      </c>
      <c r="R233">
        <v>1</v>
      </c>
      <c r="U233">
        <v>1</v>
      </c>
      <c r="V233">
        <v>1</v>
      </c>
      <c r="W233">
        <v>1</v>
      </c>
      <c r="X233">
        <v>1</v>
      </c>
      <c r="Z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H233">
        <f t="shared" si="7"/>
        <v>16</v>
      </c>
    </row>
    <row r="234" spans="2:34" ht="15.75" thickBot="1" x14ac:dyDescent="0.3">
      <c r="B234" s="23" t="s">
        <v>256</v>
      </c>
      <c r="C234" s="10" t="s">
        <v>345</v>
      </c>
      <c r="D234" s="10"/>
      <c r="E234" s="43">
        <v>33450</v>
      </c>
      <c r="F234" s="8">
        <f t="shared" ca="1" si="6"/>
        <v>32.816438356164383</v>
      </c>
      <c r="G234" s="7" t="s">
        <v>38</v>
      </c>
      <c r="H234" s="44">
        <v>1</v>
      </c>
      <c r="I234" s="44"/>
      <c r="J234" s="19"/>
      <c r="K234" s="19"/>
      <c r="AH234">
        <f t="shared" si="7"/>
        <v>0</v>
      </c>
    </row>
    <row r="235" spans="2:34" ht="15.75" thickBot="1" x14ac:dyDescent="0.3">
      <c r="B235" s="23" t="s">
        <v>256</v>
      </c>
      <c r="C235" s="9" t="s">
        <v>262</v>
      </c>
      <c r="D235" s="9"/>
      <c r="E235" s="43">
        <v>35659</v>
      </c>
      <c r="F235" s="8">
        <f t="shared" ca="1" si="6"/>
        <v>26.764383561643836</v>
      </c>
      <c r="G235" s="7" t="s">
        <v>38</v>
      </c>
      <c r="H235" s="19"/>
      <c r="I235" s="19"/>
      <c r="J235" s="19"/>
      <c r="K235" s="19"/>
      <c r="M235">
        <v>1</v>
      </c>
      <c r="S235">
        <v>1</v>
      </c>
      <c r="T235">
        <v>1</v>
      </c>
      <c r="U235">
        <v>1</v>
      </c>
      <c r="W235">
        <v>1</v>
      </c>
      <c r="AC235">
        <v>1</v>
      </c>
      <c r="AD235">
        <v>1</v>
      </c>
      <c r="AE235">
        <v>1</v>
      </c>
      <c r="AG235">
        <v>1</v>
      </c>
      <c r="AH235">
        <f t="shared" si="7"/>
        <v>9</v>
      </c>
    </row>
    <row r="236" spans="2:34" ht="15.75" thickBot="1" x14ac:dyDescent="0.3">
      <c r="B236" s="23" t="s">
        <v>256</v>
      </c>
      <c r="C236" s="10" t="s">
        <v>346</v>
      </c>
      <c r="D236" s="10"/>
      <c r="E236" s="43">
        <v>27040</v>
      </c>
      <c r="F236" s="8">
        <f t="shared" ca="1" si="6"/>
        <v>50.37808219178082</v>
      </c>
      <c r="G236" s="7" t="s">
        <v>41</v>
      </c>
      <c r="H236" s="19"/>
      <c r="I236" s="19"/>
      <c r="J236" s="19"/>
      <c r="K236" s="44">
        <v>1</v>
      </c>
      <c r="AH236">
        <f t="shared" si="7"/>
        <v>0</v>
      </c>
    </row>
    <row r="237" spans="2:34" ht="15.75" thickBot="1" x14ac:dyDescent="0.3">
      <c r="B237" s="23" t="s">
        <v>256</v>
      </c>
      <c r="C237" s="10" t="s">
        <v>263</v>
      </c>
      <c r="D237" s="10"/>
      <c r="E237" s="43">
        <v>37010</v>
      </c>
      <c r="F237" s="8">
        <f t="shared" ca="1" si="6"/>
        <v>23.063013698630137</v>
      </c>
      <c r="G237" s="7" t="s">
        <v>38</v>
      </c>
      <c r="H237" s="19"/>
      <c r="I237" s="19">
        <v>1</v>
      </c>
      <c r="J237" s="19"/>
      <c r="K237" s="19"/>
      <c r="L237">
        <v>1</v>
      </c>
      <c r="M237">
        <v>1</v>
      </c>
      <c r="N237">
        <v>1</v>
      </c>
      <c r="Q237">
        <v>1</v>
      </c>
      <c r="R237">
        <v>1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>
        <v>1</v>
      </c>
      <c r="AH237">
        <f t="shared" si="7"/>
        <v>19</v>
      </c>
    </row>
    <row r="238" spans="2:34" ht="15.75" thickBot="1" x14ac:dyDescent="0.3">
      <c r="B238" s="23" t="s">
        <v>256</v>
      </c>
      <c r="C238" s="14" t="s">
        <v>264</v>
      </c>
      <c r="D238" s="14"/>
      <c r="E238" s="43">
        <v>34382</v>
      </c>
      <c r="F238" s="8">
        <f t="shared" ca="1" si="6"/>
        <v>30.263013698630136</v>
      </c>
      <c r="G238" s="9" t="s">
        <v>206</v>
      </c>
      <c r="H238" s="19">
        <v>1</v>
      </c>
      <c r="I238" s="19"/>
      <c r="J238" s="19"/>
      <c r="K238" s="19"/>
      <c r="L238">
        <v>1</v>
      </c>
      <c r="M238">
        <v>1</v>
      </c>
      <c r="N238">
        <v>1</v>
      </c>
      <c r="P238">
        <v>1</v>
      </c>
      <c r="Q238">
        <v>1</v>
      </c>
      <c r="S238">
        <v>1</v>
      </c>
      <c r="U238">
        <v>1</v>
      </c>
      <c r="V238">
        <v>1</v>
      </c>
      <c r="W238">
        <v>1</v>
      </c>
      <c r="X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>
        <v>1</v>
      </c>
      <c r="AH238">
        <f t="shared" si="7"/>
        <v>18</v>
      </c>
    </row>
    <row r="239" spans="2:34" ht="15.75" thickBot="1" x14ac:dyDescent="0.3">
      <c r="B239" s="23" t="s">
        <v>256</v>
      </c>
      <c r="C239" s="7" t="s">
        <v>265</v>
      </c>
      <c r="D239" s="7"/>
      <c r="E239" s="43">
        <v>34925</v>
      </c>
      <c r="F239" s="8">
        <f t="shared" ca="1" si="6"/>
        <v>28.775342465753425</v>
      </c>
      <c r="G239" s="7" t="s">
        <v>38</v>
      </c>
      <c r="H239" s="19"/>
      <c r="I239" s="19"/>
      <c r="J239" s="19"/>
      <c r="K239" s="19"/>
      <c r="L239">
        <v>1</v>
      </c>
      <c r="N239">
        <v>1</v>
      </c>
      <c r="P239">
        <v>1</v>
      </c>
      <c r="Q239">
        <v>1</v>
      </c>
      <c r="R239">
        <v>1</v>
      </c>
      <c r="S239">
        <v>1</v>
      </c>
      <c r="T239">
        <v>1</v>
      </c>
      <c r="U239">
        <v>1</v>
      </c>
      <c r="V239">
        <v>1</v>
      </c>
      <c r="X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G239">
        <v>1</v>
      </c>
      <c r="AH239">
        <f t="shared" si="7"/>
        <v>16</v>
      </c>
    </row>
    <row r="240" spans="2:34" ht="15.75" thickBot="1" x14ac:dyDescent="0.3">
      <c r="B240" s="23" t="s">
        <v>256</v>
      </c>
      <c r="C240" s="10" t="s">
        <v>347</v>
      </c>
      <c r="D240" s="10"/>
      <c r="E240" s="43">
        <v>33848</v>
      </c>
      <c r="F240" s="8">
        <f t="shared" ca="1" si="6"/>
        <v>31.726027397260275</v>
      </c>
      <c r="G240" s="7" t="s">
        <v>50</v>
      </c>
      <c r="H240" s="19"/>
      <c r="I240" s="19"/>
      <c r="J240" s="19"/>
      <c r="K240" s="19"/>
      <c r="AH240">
        <f t="shared" si="7"/>
        <v>0</v>
      </c>
    </row>
    <row r="241" spans="2:34" ht="15.75" thickBot="1" x14ac:dyDescent="0.3">
      <c r="B241" s="23" t="s">
        <v>256</v>
      </c>
      <c r="C241" s="10" t="s">
        <v>348</v>
      </c>
      <c r="D241" s="10"/>
      <c r="E241" s="43">
        <v>36501</v>
      </c>
      <c r="F241" s="8">
        <f t="shared" ca="1" si="6"/>
        <v>24.457534246575342</v>
      </c>
      <c r="G241" s="7" t="s">
        <v>38</v>
      </c>
      <c r="H241" s="19"/>
      <c r="I241" s="19"/>
      <c r="J241" s="19"/>
      <c r="K241" s="19"/>
      <c r="AH241">
        <f t="shared" si="7"/>
        <v>0</v>
      </c>
    </row>
    <row r="242" spans="2:34" ht="15.75" thickBot="1" x14ac:dyDescent="0.3">
      <c r="B242" s="23" t="s">
        <v>256</v>
      </c>
      <c r="C242" s="14" t="s">
        <v>266</v>
      </c>
      <c r="D242" s="14"/>
      <c r="E242" s="43">
        <v>34539</v>
      </c>
      <c r="F242" s="8">
        <f t="shared" ca="1" si="6"/>
        <v>29.832876712328765</v>
      </c>
      <c r="G242" s="7" t="s">
        <v>267</v>
      </c>
      <c r="H242" s="19">
        <v>1</v>
      </c>
      <c r="I242" s="19"/>
      <c r="J242" s="19"/>
      <c r="K242" s="19"/>
      <c r="L242">
        <v>1</v>
      </c>
      <c r="M242">
        <v>1</v>
      </c>
      <c r="N242">
        <v>1</v>
      </c>
      <c r="P242">
        <v>1</v>
      </c>
      <c r="AH242">
        <f t="shared" si="7"/>
        <v>4</v>
      </c>
    </row>
    <row r="243" spans="2:34" ht="15.75" thickBot="1" x14ac:dyDescent="0.3">
      <c r="B243" s="23" t="s">
        <v>256</v>
      </c>
      <c r="C243" s="14" t="s">
        <v>268</v>
      </c>
      <c r="D243" s="14"/>
      <c r="E243" s="43">
        <v>36791</v>
      </c>
      <c r="F243" s="8">
        <f t="shared" ca="1" si="6"/>
        <v>23.663013698630138</v>
      </c>
      <c r="G243" s="7" t="s">
        <v>131</v>
      </c>
      <c r="H243" s="19"/>
      <c r="I243" s="19"/>
      <c r="J243" s="19"/>
      <c r="K243" s="19"/>
      <c r="L243">
        <v>1</v>
      </c>
      <c r="M243">
        <v>1</v>
      </c>
      <c r="Q243">
        <v>1</v>
      </c>
      <c r="R243">
        <v>1</v>
      </c>
      <c r="S243">
        <v>1</v>
      </c>
      <c r="T243">
        <v>1</v>
      </c>
      <c r="U243">
        <v>1</v>
      </c>
      <c r="V243">
        <v>1</v>
      </c>
      <c r="X243">
        <v>1</v>
      </c>
      <c r="Z243" s="12">
        <v>1</v>
      </c>
      <c r="AA243" s="12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>
        <v>1</v>
      </c>
      <c r="AH243">
        <f t="shared" si="7"/>
        <v>17</v>
      </c>
    </row>
    <row r="244" spans="2:34" ht="15.75" thickBot="1" x14ac:dyDescent="0.3">
      <c r="B244" s="23" t="s">
        <v>256</v>
      </c>
      <c r="C244" s="10" t="s">
        <v>269</v>
      </c>
      <c r="D244" s="10"/>
      <c r="E244" s="43">
        <v>36181</v>
      </c>
      <c r="F244" s="8">
        <f t="shared" ca="1" si="6"/>
        <v>25.334246575342465</v>
      </c>
      <c r="G244" s="7" t="s">
        <v>38</v>
      </c>
      <c r="H244" s="19"/>
      <c r="I244" s="19"/>
      <c r="J244" s="19"/>
      <c r="K244" s="19"/>
      <c r="L244">
        <v>1</v>
      </c>
      <c r="Q244">
        <v>1</v>
      </c>
      <c r="R244">
        <v>1</v>
      </c>
      <c r="S244">
        <v>1</v>
      </c>
      <c r="T244">
        <v>1</v>
      </c>
      <c r="U244">
        <v>1</v>
      </c>
      <c r="W244">
        <v>1</v>
      </c>
      <c r="X244">
        <v>1</v>
      </c>
      <c r="Z244">
        <v>1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>
        <v>1</v>
      </c>
      <c r="AH244">
        <f t="shared" si="7"/>
        <v>16</v>
      </c>
    </row>
    <row r="245" spans="2:34" ht="15.75" thickBot="1" x14ac:dyDescent="0.3">
      <c r="B245" s="23" t="s">
        <v>256</v>
      </c>
      <c r="C245" s="10" t="s">
        <v>270</v>
      </c>
      <c r="D245" s="10"/>
      <c r="E245" s="43">
        <v>36945</v>
      </c>
      <c r="F245" s="8">
        <f t="shared" ca="1" si="6"/>
        <v>23.241095890410961</v>
      </c>
      <c r="G245" s="7" t="s">
        <v>38</v>
      </c>
      <c r="H245" s="44"/>
      <c r="I245" s="44">
        <v>1</v>
      </c>
      <c r="J245" s="19"/>
      <c r="K245" s="19"/>
      <c r="M245">
        <v>1</v>
      </c>
      <c r="N245">
        <v>1</v>
      </c>
      <c r="P245">
        <v>1</v>
      </c>
      <c r="Q245">
        <v>1</v>
      </c>
      <c r="R245">
        <v>1</v>
      </c>
      <c r="S245">
        <v>1</v>
      </c>
      <c r="T245">
        <v>1</v>
      </c>
      <c r="U245">
        <v>1</v>
      </c>
      <c r="V245">
        <v>1</v>
      </c>
      <c r="AH245">
        <f t="shared" si="7"/>
        <v>9</v>
      </c>
    </row>
    <row r="246" spans="2:34" ht="15.75" thickBot="1" x14ac:dyDescent="0.3">
      <c r="B246" s="23" t="s">
        <v>256</v>
      </c>
      <c r="C246" s="10" t="s">
        <v>271</v>
      </c>
      <c r="D246" s="10"/>
      <c r="E246" s="43">
        <v>37623</v>
      </c>
      <c r="F246" s="8">
        <f t="shared" ca="1" si="6"/>
        <v>21.383561643835616</v>
      </c>
      <c r="G246" s="7" t="s">
        <v>38</v>
      </c>
      <c r="H246" s="19">
        <v>1</v>
      </c>
      <c r="I246" s="19"/>
      <c r="J246" s="19"/>
      <c r="K246" s="19"/>
      <c r="N246">
        <v>1</v>
      </c>
      <c r="P246">
        <v>1</v>
      </c>
      <c r="Q246">
        <v>1</v>
      </c>
      <c r="R246">
        <v>1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Z246">
        <v>1</v>
      </c>
      <c r="AA246">
        <v>1</v>
      </c>
      <c r="AH246">
        <f t="shared" si="7"/>
        <v>12</v>
      </c>
    </row>
    <row r="247" spans="2:34" ht="15.75" thickBot="1" x14ac:dyDescent="0.3">
      <c r="B247" s="23" t="s">
        <v>256</v>
      </c>
      <c r="C247" s="14" t="s">
        <v>272</v>
      </c>
      <c r="D247" s="14"/>
      <c r="E247" s="43">
        <v>36465</v>
      </c>
      <c r="F247" s="8">
        <f t="shared" ca="1" si="6"/>
        <v>24.556164383561644</v>
      </c>
      <c r="G247" s="7" t="s">
        <v>38</v>
      </c>
      <c r="H247" s="19"/>
      <c r="I247" s="19"/>
      <c r="J247" s="19"/>
      <c r="K247" s="19"/>
      <c r="AB247">
        <v>1</v>
      </c>
      <c r="AH247">
        <f t="shared" si="7"/>
        <v>1</v>
      </c>
    </row>
    <row r="248" spans="2:34" ht="15.75" thickBot="1" x14ac:dyDescent="0.3">
      <c r="B248" s="23" t="s">
        <v>256</v>
      </c>
      <c r="C248" s="10" t="s">
        <v>349</v>
      </c>
      <c r="D248" s="10"/>
      <c r="E248" s="43" t="s">
        <v>350</v>
      </c>
      <c r="F248" s="8" t="str">
        <f t="shared" ca="1" si="6"/>
        <v/>
      </c>
      <c r="G248" s="7" t="s">
        <v>38</v>
      </c>
      <c r="H248" s="19"/>
      <c r="I248" s="19"/>
      <c r="J248" s="19"/>
      <c r="K248" s="19"/>
      <c r="AH248">
        <f t="shared" si="7"/>
        <v>0</v>
      </c>
    </row>
    <row r="249" spans="2:34" ht="15.75" thickBot="1" x14ac:dyDescent="0.3">
      <c r="B249" s="23" t="s">
        <v>256</v>
      </c>
      <c r="C249" s="10" t="s">
        <v>273</v>
      </c>
      <c r="D249" s="10"/>
      <c r="E249" s="43">
        <v>32755</v>
      </c>
      <c r="F249" s="8">
        <f t="shared" ca="1" si="6"/>
        <v>34.720547945205482</v>
      </c>
      <c r="G249" s="7" t="s">
        <v>38</v>
      </c>
      <c r="H249" s="44"/>
      <c r="I249" s="44"/>
      <c r="J249" s="19"/>
      <c r="K249" s="19"/>
      <c r="L249">
        <v>1</v>
      </c>
      <c r="M249">
        <v>1</v>
      </c>
      <c r="N249">
        <v>1</v>
      </c>
      <c r="P249">
        <v>1</v>
      </c>
      <c r="Q249">
        <v>1</v>
      </c>
      <c r="R249">
        <v>1</v>
      </c>
      <c r="S249">
        <v>1</v>
      </c>
      <c r="T249">
        <v>1</v>
      </c>
      <c r="U249">
        <v>1</v>
      </c>
      <c r="V249">
        <v>1</v>
      </c>
      <c r="X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F249">
        <v>1</v>
      </c>
      <c r="AG249">
        <v>1</v>
      </c>
      <c r="AH249">
        <f t="shared" si="7"/>
        <v>18</v>
      </c>
    </row>
    <row r="250" spans="2:34" ht="15.75" thickBot="1" x14ac:dyDescent="0.3">
      <c r="B250" s="23" t="s">
        <v>256</v>
      </c>
      <c r="C250" s="10" t="s">
        <v>274</v>
      </c>
      <c r="D250" s="10"/>
      <c r="E250" s="43">
        <v>34573</v>
      </c>
      <c r="F250" s="8">
        <f t="shared" ca="1" si="6"/>
        <v>29.739726027397261</v>
      </c>
      <c r="G250" s="7" t="s">
        <v>38</v>
      </c>
      <c r="H250" s="19"/>
      <c r="I250" s="19"/>
      <c r="J250" s="19"/>
      <c r="K250" s="19"/>
      <c r="L250">
        <v>1</v>
      </c>
      <c r="M250">
        <v>1</v>
      </c>
      <c r="N250">
        <v>1</v>
      </c>
      <c r="P250">
        <v>1</v>
      </c>
      <c r="Q250">
        <v>1</v>
      </c>
      <c r="R250">
        <v>1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>
        <v>1</v>
      </c>
      <c r="AH250">
        <f t="shared" si="7"/>
        <v>20</v>
      </c>
    </row>
    <row r="251" spans="2:34" ht="15.75" thickBot="1" x14ac:dyDescent="0.3">
      <c r="B251" s="23" t="s">
        <v>256</v>
      </c>
      <c r="C251" s="7" t="s">
        <v>351</v>
      </c>
      <c r="D251" s="7"/>
      <c r="E251" s="43">
        <v>34619</v>
      </c>
      <c r="F251" s="8">
        <f t="shared" ca="1" si="6"/>
        <v>29.613698630136987</v>
      </c>
      <c r="G251" s="7" t="s">
        <v>38</v>
      </c>
      <c r="H251" s="44">
        <v>1</v>
      </c>
      <c r="I251" s="44"/>
      <c r="J251" s="44">
        <v>1</v>
      </c>
      <c r="K251" s="19"/>
      <c r="AH251">
        <f t="shared" si="7"/>
        <v>0</v>
      </c>
    </row>
    <row r="252" spans="2:34" ht="15.75" thickBot="1" x14ac:dyDescent="0.3">
      <c r="B252" s="23" t="s">
        <v>256</v>
      </c>
      <c r="C252" s="7" t="s">
        <v>352</v>
      </c>
      <c r="D252" s="7"/>
      <c r="E252" s="43">
        <v>34809</v>
      </c>
      <c r="F252" s="8">
        <f t="shared" ca="1" si="6"/>
        <v>29.093150684931508</v>
      </c>
      <c r="G252" s="7" t="s">
        <v>138</v>
      </c>
      <c r="H252" s="19"/>
      <c r="I252" s="19"/>
      <c r="J252" s="19"/>
      <c r="K252" s="19"/>
      <c r="AH252">
        <f t="shared" si="7"/>
        <v>0</v>
      </c>
    </row>
    <row r="253" spans="2:34" ht="15.75" thickBot="1" x14ac:dyDescent="0.3">
      <c r="B253" s="18"/>
      <c r="C253" s="9"/>
      <c r="D253" s="9"/>
      <c r="E253" s="43"/>
      <c r="F253" s="8"/>
      <c r="G253" s="7"/>
      <c r="H253" s="44"/>
      <c r="I253" s="44"/>
      <c r="J253" s="19"/>
      <c r="K253" s="19"/>
    </row>
    <row r="254" spans="2:34" ht="15.75" thickBot="1" x14ac:dyDescent="0.3">
      <c r="B254" s="18"/>
      <c r="C254" s="9"/>
      <c r="D254" s="9"/>
      <c r="E254" s="43"/>
      <c r="F254" s="8"/>
      <c r="G254" s="7"/>
      <c r="H254" s="44"/>
      <c r="I254" s="44"/>
      <c r="J254" s="19"/>
      <c r="K254" s="1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1C216-8340-4875-A4CC-2D7D8D067343}">
  <sheetPr codeName="Feuil5"/>
  <dimension ref="A1:AU132"/>
  <sheetViews>
    <sheetView zoomScale="70" zoomScaleNormal="70" workbookViewId="0">
      <selection activeCell="C37" sqref="C37"/>
    </sheetView>
  </sheetViews>
  <sheetFormatPr baseColWidth="10" defaultRowHeight="15" x14ac:dyDescent="0.25"/>
  <cols>
    <col min="4" max="4" width="16.85546875" customWidth="1"/>
  </cols>
  <sheetData>
    <row r="1" spans="1:34" x14ac:dyDescent="0.25">
      <c r="B1" s="25"/>
      <c r="I1" s="25"/>
    </row>
    <row r="2" spans="1:34" x14ac:dyDescent="0.25">
      <c r="A2" t="s">
        <v>13</v>
      </c>
      <c r="B2" s="25">
        <f>IF(E2="","",IF(E2&gt;F2,3,IF(E2=F2,1,0)))</f>
        <v>0</v>
      </c>
      <c r="D2" t="s">
        <v>104</v>
      </c>
      <c r="E2" s="26">
        <v>2</v>
      </c>
      <c r="F2" s="26">
        <v>4</v>
      </c>
      <c r="G2" t="s">
        <v>177</v>
      </c>
      <c r="I2" s="25">
        <f>IF(F2="","",IF(F2&gt;E2,3,IF(F2=E2,1,0)))</f>
        <v>3</v>
      </c>
      <c r="K2" t="s">
        <v>277</v>
      </c>
      <c r="L2" s="27" t="s">
        <v>278</v>
      </c>
      <c r="M2" s="27" t="s">
        <v>279</v>
      </c>
      <c r="N2" s="27" t="s">
        <v>280</v>
      </c>
      <c r="O2" s="27" t="s">
        <v>281</v>
      </c>
      <c r="P2" s="27" t="s">
        <v>282</v>
      </c>
      <c r="Q2" s="27" t="s">
        <v>283</v>
      </c>
      <c r="R2" s="27" t="s">
        <v>284</v>
      </c>
      <c r="S2" s="27" t="s">
        <v>285</v>
      </c>
      <c r="T2" s="27" t="s">
        <v>286</v>
      </c>
      <c r="U2" s="27" t="s">
        <v>287</v>
      </c>
      <c r="V2" s="27" t="s">
        <v>277</v>
      </c>
      <c r="X2" s="27" t="s">
        <v>278</v>
      </c>
      <c r="Y2" s="27" t="s">
        <v>279</v>
      </c>
      <c r="Z2" s="27" t="s">
        <v>280</v>
      </c>
      <c r="AA2" s="27" t="s">
        <v>281</v>
      </c>
      <c r="AB2" s="27" t="s">
        <v>282</v>
      </c>
      <c r="AC2" s="27" t="s">
        <v>283</v>
      </c>
      <c r="AD2" s="27" t="s">
        <v>284</v>
      </c>
      <c r="AE2" s="27" t="s">
        <v>285</v>
      </c>
      <c r="AF2" s="27" t="s">
        <v>286</v>
      </c>
      <c r="AG2" s="27" t="s">
        <v>288</v>
      </c>
      <c r="AH2" s="27" t="s">
        <v>287</v>
      </c>
    </row>
    <row r="3" spans="1:34" x14ac:dyDescent="0.25">
      <c r="A3" t="s">
        <v>13</v>
      </c>
      <c r="B3" s="25">
        <f t="shared" ref="B3:B66" si="0">IF(E3="","",IF(E3&gt;F3,3,IF(E3=F3,1,0)))</f>
        <v>3</v>
      </c>
      <c r="D3" t="s">
        <v>196</v>
      </c>
      <c r="E3" s="26">
        <v>6</v>
      </c>
      <c r="F3" s="26">
        <v>4</v>
      </c>
      <c r="G3" t="s">
        <v>256</v>
      </c>
      <c r="I3" s="25">
        <f t="shared" ref="I3:I66" si="1">IF(F3="","",IF(F3&gt;E3,3,IF(F3=E3,1,0)))</f>
        <v>0</v>
      </c>
      <c r="L3" s="26">
        <f>RANK(V3,V3:V13,)</f>
        <v>7</v>
      </c>
      <c r="M3" s="28" t="s">
        <v>256</v>
      </c>
      <c r="N3" s="26">
        <f t="shared" ref="N3:N13" si="2">COUNTIFS(D:D,M3,E:E,"&gt;=0")+COUNTIFS(G:G,M3,F:F,"&gt;=0")</f>
        <v>20</v>
      </c>
      <c r="O3" s="26">
        <f t="shared" ref="O3:O13" si="3">COUNTIFS(D:D,M3,B:B,3)+COUNTIFS(G:G,M3,I:I,3)</f>
        <v>5</v>
      </c>
      <c r="P3" s="26">
        <f t="shared" ref="P3:P13" si="4">COUNTIFS(D:D,M3,B:B,1)+COUNTIFS(G:G,M3,I:I,1)</f>
        <v>5</v>
      </c>
      <c r="Q3" s="26">
        <f t="shared" ref="Q3:Q13" si="5">COUNTIFS(D:D,M3,B:B,0)+COUNTIFS(G:G,M3,I:I,0)</f>
        <v>10</v>
      </c>
      <c r="R3" s="26">
        <f t="shared" ref="R3:R13" si="6">SUMIF(D:D,M3,E:E)+SUMIF(G:G,M3,F:F)</f>
        <v>66</v>
      </c>
      <c r="S3" s="26">
        <f t="shared" ref="S3:S13" si="7">SUMIF(D:D,M3,F:F)+SUMIF(G:G,M3,E:E)</f>
        <v>75</v>
      </c>
      <c r="T3" s="26">
        <f>+R3-S3</f>
        <v>-9</v>
      </c>
      <c r="U3" s="26">
        <f t="shared" ref="U3:U13" si="8">SUMIF(D:D,M3,B:B)+SUMIF(G:G,M3,I:I)</f>
        <v>20</v>
      </c>
      <c r="V3">
        <f>SUM(U3*1000000+T3*10000+R3*100+O3*10)</f>
        <v>19916650</v>
      </c>
      <c r="X3" s="29">
        <v>1</v>
      </c>
      <c r="Y3" s="30" t="str">
        <f>VLOOKUP($X3,$L$2:$U$13,COLUMNS($Y2:Y2)+1,FALSE)</f>
        <v>Etoile Lavaloise</v>
      </c>
      <c r="Z3" s="26">
        <f>IFERROR(VLOOKUP($X3,$L$2:$U$13,COLUMNS($Y2:Z2)+1,FALSE),)</f>
        <v>20</v>
      </c>
      <c r="AA3" s="26">
        <f>IFERROR(VLOOKUP($X3,$L$2:$U$13,COLUMNS($Y2:AA2)+1,FALSE),)</f>
        <v>16</v>
      </c>
      <c r="AB3" s="26">
        <f>IFERROR(VLOOKUP($X3,$L$2:$U$13,COLUMNS($Y2:AB2)+1,FALSE),)</f>
        <v>3</v>
      </c>
      <c r="AC3" s="26">
        <f>IFERROR(VLOOKUP($X3,$L$2:$U$13,COLUMNS($Y2:AC2)+1,FALSE),)</f>
        <v>1</v>
      </c>
      <c r="AD3" s="26">
        <f>IFERROR(VLOOKUP($X3,$L$2:$U$13,COLUMNS($Y2:AD2)+1,FALSE),)</f>
        <v>112</v>
      </c>
      <c r="AE3" s="26">
        <f>IFERROR(VLOOKUP($X3,$L$2:$U$13,COLUMNS($Y2:AE2)+1,FALSE),)</f>
        <v>49</v>
      </c>
      <c r="AF3" s="26">
        <f>IFERROR(VLOOKUP($X3,$L$2:$U$13,COLUMNS($Y2:AF2)+1,FALSE),)</f>
        <v>63</v>
      </c>
      <c r="AG3" s="26">
        <v>0</v>
      </c>
      <c r="AH3" s="26">
        <f>(IFERROR(VLOOKUP($X3,$L$2:$U$13,COLUMNS($Y2:AG2)+1,FALSE),))-$AG3</f>
        <v>51</v>
      </c>
    </row>
    <row r="4" spans="1:34" x14ac:dyDescent="0.25">
      <c r="A4" t="s">
        <v>13</v>
      </c>
      <c r="B4" s="25">
        <f t="shared" si="0"/>
        <v>3</v>
      </c>
      <c r="D4" t="s">
        <v>36</v>
      </c>
      <c r="E4" s="26">
        <v>5</v>
      </c>
      <c r="F4" s="26">
        <v>4</v>
      </c>
      <c r="G4" t="s">
        <v>219</v>
      </c>
      <c r="I4" s="25">
        <f t="shared" si="1"/>
        <v>0</v>
      </c>
      <c r="L4" s="26">
        <f>RANK(V4,V3:V13,)</f>
        <v>3</v>
      </c>
      <c r="M4" s="31" t="s">
        <v>219</v>
      </c>
      <c r="N4" s="26">
        <f t="shared" si="2"/>
        <v>20</v>
      </c>
      <c r="O4" s="26">
        <f t="shared" si="3"/>
        <v>13</v>
      </c>
      <c r="P4" s="26">
        <f t="shared" si="4"/>
        <v>3</v>
      </c>
      <c r="Q4" s="26">
        <f t="shared" si="5"/>
        <v>4</v>
      </c>
      <c r="R4" s="26">
        <f t="shared" si="6"/>
        <v>81</v>
      </c>
      <c r="S4" s="26">
        <f t="shared" si="7"/>
        <v>62</v>
      </c>
      <c r="T4" s="26">
        <f t="shared" ref="T4:T13" si="9">+R4-S4</f>
        <v>19</v>
      </c>
      <c r="U4" s="26">
        <f t="shared" si="8"/>
        <v>42</v>
      </c>
      <c r="V4">
        <f t="shared" ref="V4:V12" si="10">SUM(U4*1000000+T4*10000+R4*100+O4*10)</f>
        <v>42198230</v>
      </c>
      <c r="X4" s="29">
        <v>2</v>
      </c>
      <c r="Y4" s="30" t="str">
        <f>VLOOKUP($X4,$L$2:$U$13,COLUMNS($Y3:Y3)+1,FALSE)</f>
        <v>Nantes Métropole Futsal</v>
      </c>
      <c r="Z4" s="26">
        <f>IFERROR(VLOOKUP($X4,$L$2:$U$13,COLUMNS($Y3:Z3)+1,FALSE),)</f>
        <v>20</v>
      </c>
      <c r="AA4" s="26">
        <f>IFERROR(VLOOKUP($X4,$L$2:$U$13,COLUMNS($Y3:AA3)+1,FALSE),)</f>
        <v>14</v>
      </c>
      <c r="AB4" s="26">
        <f>IFERROR(VLOOKUP($X4,$L$2:$U$13,COLUMNS($Y3:AB3)+1,FALSE),)</f>
        <v>1</v>
      </c>
      <c r="AC4" s="26">
        <f>IFERROR(VLOOKUP($X4,$L$2:$U$13,COLUMNS($Y3:AC3)+1,FALSE),)</f>
        <v>5</v>
      </c>
      <c r="AD4" s="26">
        <f>IFERROR(VLOOKUP($X4,$L$2:$U$13,COLUMNS($Y3:AD3)+1,FALSE),)</f>
        <v>91</v>
      </c>
      <c r="AE4" s="26">
        <f>IFERROR(VLOOKUP($X4,$L$2:$U$13,COLUMNS($Y3:AE3)+1,FALSE),)</f>
        <v>57</v>
      </c>
      <c r="AF4" s="26">
        <f>IFERROR(VLOOKUP($X4,$L$2:$U$13,COLUMNS($Y3:AF3)+1,FALSE),)</f>
        <v>34</v>
      </c>
      <c r="AG4" s="26">
        <v>0</v>
      </c>
      <c r="AH4" s="26">
        <f>(IFERROR(VLOOKUP($X4,$L$2:$U$13,COLUMNS($Y3:AG3)+1,FALSE),))-$AG4</f>
        <v>43</v>
      </c>
    </row>
    <row r="5" spans="1:34" ht="15.75" thickBot="1" x14ac:dyDescent="0.3">
      <c r="A5" t="s">
        <v>13</v>
      </c>
      <c r="B5" s="25">
        <f t="shared" si="0"/>
        <v>3</v>
      </c>
      <c r="D5" t="s">
        <v>236</v>
      </c>
      <c r="E5" s="26">
        <v>6</v>
      </c>
      <c r="F5" s="26">
        <v>4</v>
      </c>
      <c r="G5" t="s">
        <v>80</v>
      </c>
      <c r="I5" s="25">
        <f t="shared" si="1"/>
        <v>0</v>
      </c>
      <c r="L5" s="26">
        <f>RANK(V5,V3:V13,)</f>
        <v>9</v>
      </c>
      <c r="M5" s="32" t="s">
        <v>36</v>
      </c>
      <c r="N5" s="26">
        <f t="shared" si="2"/>
        <v>20</v>
      </c>
      <c r="O5" s="26">
        <f t="shared" si="3"/>
        <v>4</v>
      </c>
      <c r="P5" s="26">
        <f t="shared" si="4"/>
        <v>4</v>
      </c>
      <c r="Q5" s="26">
        <f t="shared" si="5"/>
        <v>12</v>
      </c>
      <c r="R5" s="26">
        <f t="shared" si="6"/>
        <v>63</v>
      </c>
      <c r="S5" s="26">
        <f t="shared" si="7"/>
        <v>95</v>
      </c>
      <c r="T5" s="26">
        <f t="shared" si="9"/>
        <v>-32</v>
      </c>
      <c r="U5" s="26">
        <f t="shared" si="8"/>
        <v>16</v>
      </c>
      <c r="V5">
        <f t="shared" si="10"/>
        <v>15686340</v>
      </c>
      <c r="X5" s="29">
        <v>3</v>
      </c>
      <c r="Y5" s="30" t="str">
        <f>VLOOKUP($X5,$L$2:$U$13,COLUMNS($Y4:Y4)+1,FALSE)</f>
        <v>Sporting Paris</v>
      </c>
      <c r="Z5" s="26">
        <f>IFERROR(VLOOKUP($X5,$L$2:$U$13,COLUMNS($Y4:Z4)+1,FALSE),)</f>
        <v>20</v>
      </c>
      <c r="AA5" s="26">
        <f>IFERROR(VLOOKUP($X5,$L$2:$U$13,COLUMNS($Y4:AA4)+1,FALSE),)</f>
        <v>13</v>
      </c>
      <c r="AB5" s="26">
        <f>IFERROR(VLOOKUP($X5,$L$2:$U$13,COLUMNS($Y4:AB4)+1,FALSE),)</f>
        <v>3</v>
      </c>
      <c r="AC5" s="26">
        <f>IFERROR(VLOOKUP($X5,$L$2:$U$13,COLUMNS($Y4:AC4)+1,FALSE),)</f>
        <v>4</v>
      </c>
      <c r="AD5" s="26">
        <f>IFERROR(VLOOKUP($X5,$L$2:$U$13,COLUMNS($Y4:AD4)+1,FALSE),)</f>
        <v>81</v>
      </c>
      <c r="AE5" s="26">
        <f>IFERROR(VLOOKUP($X5,$L$2:$U$13,COLUMNS($Y4:AE4)+1,FALSE),)</f>
        <v>62</v>
      </c>
      <c r="AF5" s="26">
        <f>IFERROR(VLOOKUP($X5,$L$2:$U$13,COLUMNS($Y4:AF4)+1,FALSE),)</f>
        <v>19</v>
      </c>
      <c r="AG5" s="26">
        <v>0</v>
      </c>
      <c r="AH5" s="26">
        <f>(IFERROR(VLOOKUP($X5,$L$2:$U$13,COLUMNS($Y4:AG4)+1,FALSE),))-$AG5</f>
        <v>42</v>
      </c>
    </row>
    <row r="6" spans="1:34" ht="15.75" thickBot="1" x14ac:dyDescent="0.3">
      <c r="A6" t="s">
        <v>13</v>
      </c>
      <c r="B6" s="25">
        <f t="shared" si="0"/>
        <v>0</v>
      </c>
      <c r="D6" t="s">
        <v>124</v>
      </c>
      <c r="E6" s="26">
        <v>3</v>
      </c>
      <c r="F6" s="26">
        <v>4</v>
      </c>
      <c r="G6" t="s">
        <v>65</v>
      </c>
      <c r="I6" s="25">
        <f t="shared" si="1"/>
        <v>3</v>
      </c>
      <c r="L6" s="26">
        <f>RANK(V6,V3:V13,)</f>
        <v>11</v>
      </c>
      <c r="M6" s="18" t="s">
        <v>150</v>
      </c>
      <c r="N6" s="26">
        <f t="shared" si="2"/>
        <v>20</v>
      </c>
      <c r="O6" s="26">
        <f t="shared" si="3"/>
        <v>3</v>
      </c>
      <c r="P6" s="26">
        <f t="shared" si="4"/>
        <v>3</v>
      </c>
      <c r="Q6" s="26">
        <f t="shared" si="5"/>
        <v>14</v>
      </c>
      <c r="R6" s="26">
        <f t="shared" si="6"/>
        <v>63</v>
      </c>
      <c r="S6" s="26">
        <f t="shared" si="7"/>
        <v>90</v>
      </c>
      <c r="T6" s="26">
        <f t="shared" si="9"/>
        <v>-27</v>
      </c>
      <c r="U6" s="26">
        <f t="shared" si="8"/>
        <v>12</v>
      </c>
      <c r="V6">
        <f t="shared" si="10"/>
        <v>11736330</v>
      </c>
      <c r="X6" s="29">
        <v>4</v>
      </c>
      <c r="Y6" s="30" t="str">
        <f>VLOOKUP($X6,$L$2:$U$13,COLUMNS($Y5:Y5)+1,FALSE)</f>
        <v>Lille Mouvaux Futsal</v>
      </c>
      <c r="Z6" s="26">
        <f>IFERROR(VLOOKUP($X6,$L$2:$U$13,COLUMNS($Y5:Z5)+1,FALSE),)</f>
        <v>20</v>
      </c>
      <c r="AA6" s="26">
        <f>IFERROR(VLOOKUP($X6,$L$2:$U$13,COLUMNS($Y5:AA5)+1,FALSE),)</f>
        <v>12</v>
      </c>
      <c r="AB6" s="26">
        <f>IFERROR(VLOOKUP($X6,$L$2:$U$13,COLUMNS($Y5:AB5)+1,FALSE),)</f>
        <v>5</v>
      </c>
      <c r="AC6" s="26">
        <f>IFERROR(VLOOKUP($X6,$L$2:$U$13,COLUMNS($Y5:AC5)+1,FALSE),)</f>
        <v>3</v>
      </c>
      <c r="AD6" s="26">
        <f>IFERROR(VLOOKUP($X6,$L$2:$U$13,COLUMNS($Y5:AD5)+1,FALSE),)</f>
        <v>79</v>
      </c>
      <c r="AE6" s="26">
        <f>IFERROR(VLOOKUP($X6,$L$2:$U$13,COLUMNS($Y5:AE5)+1,FALSE),)</f>
        <v>60</v>
      </c>
      <c r="AF6" s="26">
        <f>IFERROR(VLOOKUP($X6,$L$2:$U$13,COLUMNS($Y5:AF5)+1,FALSE),)</f>
        <v>19</v>
      </c>
      <c r="AG6" s="26">
        <v>0</v>
      </c>
      <c r="AH6" s="26">
        <f>(IFERROR(VLOOKUP($X6,$L$2:$U$13,COLUMNS($Y5:AG5)+1,FALSE),))-$AG6</f>
        <v>41</v>
      </c>
    </row>
    <row r="7" spans="1:34" x14ac:dyDescent="0.25">
      <c r="B7" s="25" t="str">
        <f t="shared" si="0"/>
        <v/>
      </c>
      <c r="E7" s="26"/>
      <c r="F7" s="26"/>
      <c r="I7" s="25" t="str">
        <f t="shared" si="1"/>
        <v/>
      </c>
      <c r="L7" s="26">
        <f>RANK(V7,V3:V13,)</f>
        <v>1</v>
      </c>
      <c r="M7" s="33" t="s">
        <v>65</v>
      </c>
      <c r="N7" s="26">
        <f t="shared" si="2"/>
        <v>20</v>
      </c>
      <c r="O7" s="26">
        <f t="shared" si="3"/>
        <v>16</v>
      </c>
      <c r="P7" s="26">
        <f t="shared" si="4"/>
        <v>3</v>
      </c>
      <c r="Q7" s="26">
        <f t="shared" si="5"/>
        <v>1</v>
      </c>
      <c r="R7" s="26">
        <f t="shared" si="6"/>
        <v>112</v>
      </c>
      <c r="S7" s="26">
        <f t="shared" si="7"/>
        <v>49</v>
      </c>
      <c r="T7" s="26">
        <f t="shared" si="9"/>
        <v>63</v>
      </c>
      <c r="U7" s="26">
        <f t="shared" si="8"/>
        <v>51</v>
      </c>
      <c r="V7">
        <f t="shared" si="10"/>
        <v>51641360</v>
      </c>
      <c r="X7" s="29">
        <v>5</v>
      </c>
      <c r="Y7" s="30" t="str">
        <f>VLOOKUP($X7,$L$2:$U$13,COLUMNS($Y6:Y6)+1,FALSE)</f>
        <v>Paris Acasa</v>
      </c>
      <c r="Z7" s="26">
        <f>IFERROR(VLOOKUP($X7,$L$2:$U$13,COLUMNS($Y6:Z6)+1,FALSE),)</f>
        <v>20</v>
      </c>
      <c r="AA7" s="26">
        <f>IFERROR(VLOOKUP($X7,$L$2:$U$13,COLUMNS($Y6:AA6)+1,FALSE),)</f>
        <v>10</v>
      </c>
      <c r="AB7" s="26">
        <f>IFERROR(VLOOKUP($X7,$L$2:$U$13,COLUMNS($Y6:AB6)+1,FALSE),)</f>
        <v>4</v>
      </c>
      <c r="AC7" s="26">
        <f>IFERROR(VLOOKUP($X7,$L$2:$U$13,COLUMNS($Y6:AC6)+1,FALSE),)</f>
        <v>6</v>
      </c>
      <c r="AD7" s="26">
        <f>IFERROR(VLOOKUP($X7,$L$2:$U$13,COLUMNS($Y6:AD6)+1,FALSE),)</f>
        <v>77</v>
      </c>
      <c r="AE7" s="26">
        <f>IFERROR(VLOOKUP($X7,$L$2:$U$13,COLUMNS($Y6:AE6)+1,FALSE),)</f>
        <v>65</v>
      </c>
      <c r="AF7" s="26">
        <f>IFERROR(VLOOKUP($X7,$L$2:$U$13,COLUMNS($Y6:AF6)+1,FALSE),)</f>
        <v>12</v>
      </c>
      <c r="AG7" s="26">
        <v>0</v>
      </c>
      <c r="AH7" s="26">
        <f>(IFERROR(VLOOKUP($X7,$L$2:$U$13,COLUMNS($Y6:AG6)+1,FALSE),))-$AG7</f>
        <v>34</v>
      </c>
    </row>
    <row r="8" spans="1:34" x14ac:dyDescent="0.25">
      <c r="A8" t="s">
        <v>14</v>
      </c>
      <c r="B8" s="25">
        <f t="shared" si="0"/>
        <v>1</v>
      </c>
      <c r="D8" t="s">
        <v>196</v>
      </c>
      <c r="E8" s="26">
        <v>4</v>
      </c>
      <c r="F8" s="26">
        <v>4</v>
      </c>
      <c r="G8" t="s">
        <v>104</v>
      </c>
      <c r="I8" s="25">
        <f t="shared" si="1"/>
        <v>1</v>
      </c>
      <c r="L8" s="26">
        <f>RANK(V8,V3:V13,)</f>
        <v>5</v>
      </c>
      <c r="M8" s="26" t="s">
        <v>196</v>
      </c>
      <c r="N8" s="26">
        <f t="shared" si="2"/>
        <v>20</v>
      </c>
      <c r="O8" s="26">
        <f t="shared" si="3"/>
        <v>10</v>
      </c>
      <c r="P8" s="26">
        <f t="shared" si="4"/>
        <v>4</v>
      </c>
      <c r="Q8" s="26">
        <f t="shared" si="5"/>
        <v>6</v>
      </c>
      <c r="R8" s="26">
        <f t="shared" si="6"/>
        <v>77</v>
      </c>
      <c r="S8" s="26">
        <f t="shared" si="7"/>
        <v>65</v>
      </c>
      <c r="T8" s="26">
        <f t="shared" si="9"/>
        <v>12</v>
      </c>
      <c r="U8" s="26">
        <f t="shared" si="8"/>
        <v>34</v>
      </c>
      <c r="V8">
        <f t="shared" si="10"/>
        <v>34127800</v>
      </c>
      <c r="X8" s="29">
        <v>6</v>
      </c>
      <c r="Y8" s="30" t="str">
        <f>VLOOKUP($X8,$L$2:$U$13,COLUMNS($Y7:Y7)+1,FALSE)</f>
        <v>Toulon Elite Futsal</v>
      </c>
      <c r="Z8" s="26">
        <f>IFERROR(VLOOKUP($X8,$L$2:$U$13,COLUMNS($Y7:Z7)+1,FALSE),)</f>
        <v>20</v>
      </c>
      <c r="AA8" s="26">
        <f>IFERROR(VLOOKUP($X8,$L$2:$U$13,COLUMNS($Y7:AA7)+1,FALSE),)</f>
        <v>6</v>
      </c>
      <c r="AB8" s="26">
        <f>IFERROR(VLOOKUP($X8,$L$2:$U$13,COLUMNS($Y7:AB7)+1,FALSE),)</f>
        <v>6</v>
      </c>
      <c r="AC8" s="26">
        <f>IFERROR(VLOOKUP($X8,$L$2:$U$13,COLUMNS($Y7:AC7)+1,FALSE),)</f>
        <v>8</v>
      </c>
      <c r="AD8" s="26">
        <f>IFERROR(VLOOKUP($X8,$L$2:$U$13,COLUMNS($Y7:AD7)+1,FALSE),)</f>
        <v>66</v>
      </c>
      <c r="AE8" s="26">
        <f>IFERROR(VLOOKUP($X8,$L$2:$U$13,COLUMNS($Y7:AE7)+1,FALSE),)</f>
        <v>80</v>
      </c>
      <c r="AF8" s="26">
        <f>IFERROR(VLOOKUP($X8,$L$2:$U$13,COLUMNS($Y7:AF7)+1,FALSE),)</f>
        <v>-14</v>
      </c>
      <c r="AG8" s="26">
        <v>0</v>
      </c>
      <c r="AH8" s="26">
        <f>(IFERROR(VLOOKUP($X8,$L$2:$U$13,COLUMNS($Y7:AG7)+1,FALSE),))-$AG8</f>
        <v>24</v>
      </c>
    </row>
    <row r="9" spans="1:34" x14ac:dyDescent="0.25">
      <c r="A9" t="s">
        <v>14</v>
      </c>
      <c r="B9" s="25">
        <f t="shared" si="0"/>
        <v>3</v>
      </c>
      <c r="D9" t="s">
        <v>219</v>
      </c>
      <c r="E9" s="26">
        <v>8</v>
      </c>
      <c r="F9" s="26">
        <v>3</v>
      </c>
      <c r="G9" t="s">
        <v>236</v>
      </c>
      <c r="I9" s="25">
        <f t="shared" si="1"/>
        <v>0</v>
      </c>
      <c r="L9" s="26">
        <f>RANK(V9,V3:V13,)</f>
        <v>10</v>
      </c>
      <c r="M9" s="34" t="s">
        <v>80</v>
      </c>
      <c r="N9" s="26">
        <f t="shared" si="2"/>
        <v>20</v>
      </c>
      <c r="O9" s="26">
        <f t="shared" si="3"/>
        <v>4</v>
      </c>
      <c r="P9" s="26">
        <f t="shared" si="4"/>
        <v>1</v>
      </c>
      <c r="Q9" s="26">
        <f t="shared" si="5"/>
        <v>15</v>
      </c>
      <c r="R9" s="26">
        <f t="shared" si="6"/>
        <v>47</v>
      </c>
      <c r="S9" s="26">
        <f t="shared" si="7"/>
        <v>88</v>
      </c>
      <c r="T9" s="26">
        <f t="shared" si="9"/>
        <v>-41</v>
      </c>
      <c r="U9" s="26">
        <f t="shared" si="8"/>
        <v>13</v>
      </c>
      <c r="V9">
        <f t="shared" si="10"/>
        <v>12594740</v>
      </c>
      <c r="X9" s="29">
        <v>7</v>
      </c>
      <c r="Y9" s="30" t="str">
        <f>VLOOKUP($X9,$L$2:$U$13,COLUMNS($Y8:Y8)+1,FALSE)</f>
        <v>UJS Toulouse</v>
      </c>
      <c r="Z9" s="26">
        <f>IFERROR(VLOOKUP($X9,$L$2:$U$13,COLUMNS($Y8:Z8)+1,FALSE),)</f>
        <v>20</v>
      </c>
      <c r="AA9" s="26">
        <f>IFERROR(VLOOKUP($X9,$L$2:$U$13,COLUMNS($Y8:AA8)+1,FALSE),)</f>
        <v>5</v>
      </c>
      <c r="AB9" s="26">
        <f>IFERROR(VLOOKUP($X9,$L$2:$U$13,COLUMNS($Y8:AB8)+1,FALSE),)</f>
        <v>5</v>
      </c>
      <c r="AC9" s="26">
        <f>IFERROR(VLOOKUP($X9,$L$2:$U$13,COLUMNS($Y8:AC8)+1,FALSE),)</f>
        <v>10</v>
      </c>
      <c r="AD9" s="26">
        <f>IFERROR(VLOOKUP($X9,$L$2:$U$13,COLUMNS($Y8:AD8)+1,FALSE),)</f>
        <v>66</v>
      </c>
      <c r="AE9" s="26">
        <f>IFERROR(VLOOKUP($X9,$L$2:$U$13,COLUMNS($Y8:AE8)+1,FALSE),)</f>
        <v>75</v>
      </c>
      <c r="AF9" s="26">
        <f>IFERROR(VLOOKUP($X9,$L$2:$U$13,COLUMNS($Y8:AF8)+1,FALSE),)</f>
        <v>-9</v>
      </c>
      <c r="AG9" s="26">
        <v>0</v>
      </c>
      <c r="AH9" s="26">
        <f>(IFERROR(VLOOKUP($X9,$L$2:$U$13,COLUMNS($Y8:AG8)+1,FALSE),))-$AG9</f>
        <v>20</v>
      </c>
    </row>
    <row r="10" spans="1:34" x14ac:dyDescent="0.25">
      <c r="A10" t="s">
        <v>14</v>
      </c>
      <c r="B10" s="25">
        <f t="shared" si="0"/>
        <v>3</v>
      </c>
      <c r="D10" t="s">
        <v>80</v>
      </c>
      <c r="E10" s="26">
        <v>5</v>
      </c>
      <c r="F10" s="26">
        <v>4</v>
      </c>
      <c r="G10" t="s">
        <v>150</v>
      </c>
      <c r="I10" s="25">
        <f t="shared" si="1"/>
        <v>0</v>
      </c>
      <c r="L10" s="26">
        <f>RANK(V10,V3:V13,)</f>
        <v>6</v>
      </c>
      <c r="M10" s="35" t="s">
        <v>236</v>
      </c>
      <c r="N10" s="26">
        <f t="shared" si="2"/>
        <v>20</v>
      </c>
      <c r="O10" s="26">
        <f t="shared" si="3"/>
        <v>6</v>
      </c>
      <c r="P10" s="26">
        <f t="shared" si="4"/>
        <v>6</v>
      </c>
      <c r="Q10" s="26">
        <f t="shared" si="5"/>
        <v>8</v>
      </c>
      <c r="R10" s="26">
        <f t="shared" si="6"/>
        <v>66</v>
      </c>
      <c r="S10" s="26">
        <f t="shared" si="7"/>
        <v>80</v>
      </c>
      <c r="T10" s="26">
        <f t="shared" si="9"/>
        <v>-14</v>
      </c>
      <c r="U10" s="26">
        <f t="shared" si="8"/>
        <v>24</v>
      </c>
      <c r="V10">
        <f t="shared" si="10"/>
        <v>23866660</v>
      </c>
      <c r="X10" s="29">
        <v>8</v>
      </c>
      <c r="Y10" s="30" t="str">
        <f>VLOOKUP($X10,$L$2:$U$13,COLUMNS($Y9:Y9)+1,FALSE)</f>
        <v>Kremlin Bicetre</v>
      </c>
      <c r="Z10" s="26">
        <f>IFERROR(VLOOKUP($X10,$L$2:$U$13,COLUMNS($Y9:Z9)+1,FALSE),)</f>
        <v>20</v>
      </c>
      <c r="AA10" s="26">
        <f>IFERROR(VLOOKUP($X10,$L$2:$U$13,COLUMNS($Y9:AA9)+1,FALSE),)</f>
        <v>5</v>
      </c>
      <c r="AB10" s="26">
        <f>IFERROR(VLOOKUP($X10,$L$2:$U$13,COLUMNS($Y9:AB9)+1,FALSE),)</f>
        <v>1</v>
      </c>
      <c r="AC10" s="26">
        <f>IFERROR(VLOOKUP($X10,$L$2:$U$13,COLUMNS($Y9:AC9)+1,FALSE),)</f>
        <v>14</v>
      </c>
      <c r="AD10" s="26">
        <f>IFERROR(VLOOKUP($X10,$L$2:$U$13,COLUMNS($Y9:AD9)+1,FALSE),)</f>
        <v>53</v>
      </c>
      <c r="AE10" s="26">
        <f>IFERROR(VLOOKUP($X10,$L$2:$U$13,COLUMNS($Y9:AE9)+1,FALSE),)</f>
        <v>77</v>
      </c>
      <c r="AF10" s="26">
        <f>IFERROR(VLOOKUP($X10,$L$2:$U$13,COLUMNS($Y9:AF9)+1,FALSE),)</f>
        <v>-24</v>
      </c>
      <c r="AG10" s="26">
        <v>0</v>
      </c>
      <c r="AH10" s="26">
        <f>(IFERROR(VLOOKUP($X10,$L$2:$U$13,COLUMNS($Y9:AG9)+1,FALSE),))-$AG10</f>
        <v>16</v>
      </c>
    </row>
    <row r="11" spans="1:34" x14ac:dyDescent="0.25">
      <c r="A11" t="s">
        <v>14</v>
      </c>
      <c r="B11" s="25">
        <f t="shared" si="0"/>
        <v>0</v>
      </c>
      <c r="D11" t="s">
        <v>256</v>
      </c>
      <c r="E11" s="26">
        <v>1</v>
      </c>
      <c r="F11" s="26">
        <v>6</v>
      </c>
      <c r="G11" t="s">
        <v>65</v>
      </c>
      <c r="I11" s="25">
        <f t="shared" si="1"/>
        <v>3</v>
      </c>
      <c r="L11" s="26">
        <f>RANK(V11,V3:V13,)</f>
        <v>4</v>
      </c>
      <c r="M11" s="36" t="s">
        <v>124</v>
      </c>
      <c r="N11" s="26">
        <f t="shared" si="2"/>
        <v>20</v>
      </c>
      <c r="O11" s="26">
        <f t="shared" si="3"/>
        <v>12</v>
      </c>
      <c r="P11" s="26">
        <f t="shared" si="4"/>
        <v>5</v>
      </c>
      <c r="Q11" s="26">
        <f t="shared" si="5"/>
        <v>3</v>
      </c>
      <c r="R11" s="26">
        <f t="shared" si="6"/>
        <v>79</v>
      </c>
      <c r="S11" s="26">
        <f t="shared" si="7"/>
        <v>60</v>
      </c>
      <c r="T11" s="26">
        <f t="shared" si="9"/>
        <v>19</v>
      </c>
      <c r="U11" s="26">
        <f t="shared" si="8"/>
        <v>41</v>
      </c>
      <c r="V11">
        <f t="shared" si="10"/>
        <v>41198020</v>
      </c>
      <c r="X11" s="29">
        <v>9</v>
      </c>
      <c r="Y11" s="30" t="str">
        <f>VLOOKUP($X11,$L$2:$U$13,COLUMNS($Y10:Y10)+1,FALSE)</f>
        <v>Béthune Futsal</v>
      </c>
      <c r="Z11" s="26">
        <f>IFERROR(VLOOKUP($X11,$L$2:$U$13,COLUMNS($Y10:Z10)+1,FALSE),)</f>
        <v>20</v>
      </c>
      <c r="AA11" s="26">
        <f>IFERROR(VLOOKUP($X11,$L$2:$U$13,COLUMNS($Y10:AA10)+1,FALSE),)</f>
        <v>4</v>
      </c>
      <c r="AB11" s="26">
        <f>IFERROR(VLOOKUP($X11,$L$2:$U$13,COLUMNS($Y10:AB10)+1,FALSE),)</f>
        <v>4</v>
      </c>
      <c r="AC11" s="26">
        <f>IFERROR(VLOOKUP($X11,$L$2:$U$13,COLUMNS($Y10:AC10)+1,FALSE),)</f>
        <v>12</v>
      </c>
      <c r="AD11" s="26">
        <f>IFERROR(VLOOKUP($X11,$L$2:$U$13,COLUMNS($Y10:AD10)+1,FALSE),)</f>
        <v>63</v>
      </c>
      <c r="AE11" s="26">
        <f>IFERROR(VLOOKUP($X11,$L$2:$U$13,COLUMNS($Y10:AE10)+1,FALSE),)</f>
        <v>95</v>
      </c>
      <c r="AF11" s="26">
        <f>IFERROR(VLOOKUP($X11,$L$2:$U$13,COLUMNS($Y10:AF10)+1,FALSE),)</f>
        <v>-32</v>
      </c>
      <c r="AG11" s="26">
        <v>0</v>
      </c>
      <c r="AH11" s="26">
        <f>(IFERROR(VLOOKUP($X11,$L$2:$U$13,COLUMNS($Y10:AG10)+1,FALSE),))-$AG11</f>
        <v>16</v>
      </c>
    </row>
    <row r="12" spans="1:34" ht="15.75" thickBot="1" x14ac:dyDescent="0.3">
      <c r="A12" t="s">
        <v>14</v>
      </c>
      <c r="B12" s="25">
        <f t="shared" si="0"/>
        <v>3</v>
      </c>
      <c r="D12" t="s">
        <v>177</v>
      </c>
      <c r="E12" s="26">
        <v>10</v>
      </c>
      <c r="F12" s="26">
        <v>0</v>
      </c>
      <c r="G12" t="s">
        <v>36</v>
      </c>
      <c r="I12" s="25">
        <f t="shared" si="1"/>
        <v>0</v>
      </c>
      <c r="L12" s="26">
        <f>RANK(V12,V3:V13,)</f>
        <v>2</v>
      </c>
      <c r="M12" s="37" t="s">
        <v>177</v>
      </c>
      <c r="N12" s="26">
        <f t="shared" si="2"/>
        <v>20</v>
      </c>
      <c r="O12" s="26">
        <f t="shared" si="3"/>
        <v>14</v>
      </c>
      <c r="P12" s="26">
        <f t="shared" si="4"/>
        <v>1</v>
      </c>
      <c r="Q12" s="26">
        <f t="shared" si="5"/>
        <v>5</v>
      </c>
      <c r="R12" s="26">
        <f t="shared" si="6"/>
        <v>91</v>
      </c>
      <c r="S12" s="26">
        <f t="shared" si="7"/>
        <v>57</v>
      </c>
      <c r="T12" s="26">
        <f t="shared" si="9"/>
        <v>34</v>
      </c>
      <c r="U12" s="26">
        <f t="shared" si="8"/>
        <v>43</v>
      </c>
      <c r="V12">
        <f t="shared" si="10"/>
        <v>43349240</v>
      </c>
      <c r="X12" s="29">
        <v>10</v>
      </c>
      <c r="Y12" s="30" t="str">
        <f>VLOOKUP($X12,$L$2:$U$13,COLUMNS($Y11:Y11)+1,FALSE)</f>
        <v>FC Kingersheim</v>
      </c>
      <c r="Z12" s="26">
        <f>IFERROR(VLOOKUP($X12,$L$2:$U$13,COLUMNS($Y11:Z11)+1,FALSE),)</f>
        <v>20</v>
      </c>
      <c r="AA12" s="26">
        <f>IFERROR(VLOOKUP($X12,$L$2:$U$13,COLUMNS($Y11:AA11)+1,FALSE),)</f>
        <v>4</v>
      </c>
      <c r="AB12" s="26">
        <f>IFERROR(VLOOKUP($X12,$L$2:$U$13,COLUMNS($Y11:AB11)+1,FALSE),)</f>
        <v>1</v>
      </c>
      <c r="AC12" s="26">
        <f>IFERROR(VLOOKUP($X12,$L$2:$U$13,COLUMNS($Y11:AC11)+1,FALSE),)</f>
        <v>15</v>
      </c>
      <c r="AD12" s="26">
        <f>IFERROR(VLOOKUP($X12,$L$2:$U$13,COLUMNS($Y11:AD11)+1,FALSE),)</f>
        <v>47</v>
      </c>
      <c r="AE12" s="26">
        <f>IFERROR(VLOOKUP($X12,$L$2:$U$13,COLUMNS($Y11:AE11)+1,FALSE),)</f>
        <v>88</v>
      </c>
      <c r="AF12" s="26">
        <f>IFERROR(VLOOKUP($X12,$L$2:$U$13,COLUMNS($Y11:AF11)+1,FALSE),)</f>
        <v>-41</v>
      </c>
      <c r="AG12" s="26">
        <v>0</v>
      </c>
      <c r="AH12" s="26">
        <f>(IFERROR(VLOOKUP($X12,$L$2:$U$13,COLUMNS($Y11:AG11)+1,FALSE),))-$AG12</f>
        <v>13</v>
      </c>
    </row>
    <row r="13" spans="1:34" ht="15.75" thickBot="1" x14ac:dyDescent="0.3">
      <c r="B13" s="25" t="str">
        <f t="shared" si="0"/>
        <v/>
      </c>
      <c r="E13" s="26"/>
      <c r="F13" s="26"/>
      <c r="I13" s="25" t="str">
        <f t="shared" si="1"/>
        <v/>
      </c>
      <c r="L13" s="26">
        <f>RANK(V13,V3:V13,)</f>
        <v>8</v>
      </c>
      <c r="M13" s="15" t="s">
        <v>104</v>
      </c>
      <c r="N13" s="26">
        <f t="shared" si="2"/>
        <v>20</v>
      </c>
      <c r="O13" s="26">
        <f t="shared" si="3"/>
        <v>5</v>
      </c>
      <c r="P13" s="26">
        <f t="shared" si="4"/>
        <v>1</v>
      </c>
      <c r="Q13" s="26">
        <f t="shared" si="5"/>
        <v>14</v>
      </c>
      <c r="R13" s="26">
        <f t="shared" si="6"/>
        <v>53</v>
      </c>
      <c r="S13" s="26">
        <f t="shared" si="7"/>
        <v>77</v>
      </c>
      <c r="T13" s="26">
        <f t="shared" si="9"/>
        <v>-24</v>
      </c>
      <c r="U13" s="26">
        <f t="shared" si="8"/>
        <v>16</v>
      </c>
      <c r="V13">
        <f t="shared" ref="V13" si="11">SUM(U13*1000000+T13*10000+R13*100+O13*10)</f>
        <v>15765350</v>
      </c>
      <c r="X13" s="29">
        <v>11</v>
      </c>
      <c r="Y13" s="30" t="str">
        <f>VLOOKUP($X13,$L$2:$U$13,COLUMNS($Y12:Y12)+1,FALSE)</f>
        <v>Marcouville</v>
      </c>
      <c r="Z13" s="26">
        <f>IFERROR(VLOOKUP($X13,$L$2:$U$13,COLUMNS($Y12:Z12)+1,FALSE),)</f>
        <v>20</v>
      </c>
      <c r="AA13" s="26">
        <f>IFERROR(VLOOKUP($X13,$L$2:$U$13,COLUMNS($Y12:AA12)+1,FALSE),)</f>
        <v>3</v>
      </c>
      <c r="AB13" s="26">
        <f>IFERROR(VLOOKUP($X13,$L$2:$U$13,COLUMNS($Y12:AB12)+1,FALSE),)</f>
        <v>3</v>
      </c>
      <c r="AC13" s="26">
        <f>IFERROR(VLOOKUP($X13,$L$2:$U$13,COLUMNS($Y12:AC12)+1,FALSE),)</f>
        <v>14</v>
      </c>
      <c r="AD13" s="26">
        <f>IFERROR(VLOOKUP($X13,$L$2:$U$13,COLUMNS($Y12:AD12)+1,FALSE),)</f>
        <v>63</v>
      </c>
      <c r="AE13" s="26">
        <f>IFERROR(VLOOKUP($X13,$L$2:$U$13,COLUMNS($Y12:AE12)+1,FALSE),)</f>
        <v>90</v>
      </c>
      <c r="AF13" s="26">
        <f>IFERROR(VLOOKUP($X13,$L$2:$U$13,COLUMNS($Y12:AF12)+1,FALSE),)</f>
        <v>-27</v>
      </c>
      <c r="AG13" s="26">
        <v>0</v>
      </c>
      <c r="AH13" s="26">
        <f>(IFERROR(VLOOKUP($X13,$L$2:$U$13,COLUMNS($Y12:AG12)+1,FALSE),))-$AG13</f>
        <v>12</v>
      </c>
    </row>
    <row r="14" spans="1:34" x14ac:dyDescent="0.25">
      <c r="A14" t="s">
        <v>15</v>
      </c>
      <c r="B14" s="25">
        <f t="shared" si="0"/>
        <v>3</v>
      </c>
      <c r="D14" t="s">
        <v>104</v>
      </c>
      <c r="E14" s="26">
        <v>4</v>
      </c>
      <c r="F14" s="26">
        <v>2</v>
      </c>
      <c r="G14" t="s">
        <v>256</v>
      </c>
      <c r="I14" s="25">
        <f t="shared" si="1"/>
        <v>0</v>
      </c>
    </row>
    <row r="15" spans="1:34" x14ac:dyDescent="0.25">
      <c r="A15" t="s">
        <v>15</v>
      </c>
      <c r="B15" s="25">
        <f t="shared" si="0"/>
        <v>1</v>
      </c>
      <c r="D15" t="s">
        <v>36</v>
      </c>
      <c r="E15" s="26">
        <v>2</v>
      </c>
      <c r="F15" s="26">
        <v>2</v>
      </c>
      <c r="G15" t="s">
        <v>196</v>
      </c>
      <c r="I15" s="25">
        <f t="shared" si="1"/>
        <v>1</v>
      </c>
      <c r="Y15" t="s">
        <v>289</v>
      </c>
    </row>
    <row r="16" spans="1:34" x14ac:dyDescent="0.25">
      <c r="A16" t="s">
        <v>15</v>
      </c>
      <c r="B16" s="25">
        <f t="shared" si="0"/>
        <v>0</v>
      </c>
      <c r="D16" t="s">
        <v>236</v>
      </c>
      <c r="E16" s="26">
        <v>0</v>
      </c>
      <c r="F16" s="26">
        <v>6</v>
      </c>
      <c r="G16" t="s">
        <v>177</v>
      </c>
      <c r="I16" s="25">
        <f t="shared" si="1"/>
        <v>3</v>
      </c>
    </row>
    <row r="17" spans="1:47" x14ac:dyDescent="0.25">
      <c r="A17" t="s">
        <v>15</v>
      </c>
      <c r="B17" s="25">
        <f t="shared" si="0"/>
        <v>1</v>
      </c>
      <c r="D17" t="s">
        <v>124</v>
      </c>
      <c r="E17" s="26">
        <v>4</v>
      </c>
      <c r="F17" s="26">
        <v>4</v>
      </c>
      <c r="G17" t="s">
        <v>80</v>
      </c>
      <c r="I17" s="25">
        <f t="shared" si="1"/>
        <v>1</v>
      </c>
      <c r="Y17" s="38" t="s">
        <v>290</v>
      </c>
      <c r="Z17" s="38" t="s">
        <v>13</v>
      </c>
      <c r="AA17" s="38" t="s">
        <v>14</v>
      </c>
      <c r="AB17" s="38" t="s">
        <v>15</v>
      </c>
      <c r="AC17" s="38" t="s">
        <v>16</v>
      </c>
      <c r="AD17" s="38" t="s">
        <v>17</v>
      </c>
      <c r="AE17" s="38" t="s">
        <v>18</v>
      </c>
      <c r="AF17" s="38" t="s">
        <v>19</v>
      </c>
      <c r="AG17" s="38" t="s">
        <v>20</v>
      </c>
      <c r="AH17" s="38" t="s">
        <v>21</v>
      </c>
      <c r="AI17" s="38" t="s">
        <v>22</v>
      </c>
      <c r="AJ17" s="38" t="s">
        <v>23</v>
      </c>
      <c r="AK17" s="38" t="s">
        <v>24</v>
      </c>
      <c r="AL17" s="38" t="s">
        <v>25</v>
      </c>
      <c r="AM17" s="38" t="s">
        <v>26</v>
      </c>
      <c r="AN17" s="38" t="s">
        <v>27</v>
      </c>
      <c r="AO17" s="38" t="s">
        <v>28</v>
      </c>
      <c r="AP17" s="38" t="s">
        <v>29</v>
      </c>
      <c r="AQ17" s="38" t="s">
        <v>30</v>
      </c>
      <c r="AR17" s="38" t="s">
        <v>31</v>
      </c>
      <c r="AS17" s="38" t="s">
        <v>32</v>
      </c>
      <c r="AT17" s="38" t="s">
        <v>33</v>
      </c>
      <c r="AU17" s="38" t="s">
        <v>34</v>
      </c>
    </row>
    <row r="18" spans="1:47" x14ac:dyDescent="0.25">
      <c r="A18" t="s">
        <v>15</v>
      </c>
      <c r="B18" s="25">
        <f t="shared" si="0"/>
        <v>0</v>
      </c>
      <c r="D18" t="s">
        <v>150</v>
      </c>
      <c r="E18" s="26">
        <v>2</v>
      </c>
      <c r="F18" s="26">
        <v>4</v>
      </c>
      <c r="G18" t="s">
        <v>219</v>
      </c>
      <c r="I18" s="25">
        <f t="shared" si="1"/>
        <v>3</v>
      </c>
      <c r="Y18" s="28" t="s">
        <v>256</v>
      </c>
      <c r="Z18" s="26">
        <f t="shared" ref="Z18:Z28" si="12">SUMIFS($B:$B,$A:$A,Z$17,$D:$D,$Y18)+SUMIFS($I:$I,$A:$A,Z$17,$G:$G,$Y18)</f>
        <v>0</v>
      </c>
      <c r="AA18" s="26">
        <f t="shared" ref="AA18:AU28" si="13">SUMIFS($B:$B,$A:$A,AA$17,$D:$D,$Y18)+SUMIFS($I:$I,$A:$A,AA$17,$G:$G,$Y18)+Z18</f>
        <v>0</v>
      </c>
      <c r="AB18" s="26">
        <f t="shared" si="13"/>
        <v>0</v>
      </c>
      <c r="AC18" s="26">
        <f t="shared" si="13"/>
        <v>0</v>
      </c>
      <c r="AD18" s="26">
        <f t="shared" si="13"/>
        <v>1</v>
      </c>
      <c r="AE18" s="26">
        <f t="shared" si="13"/>
        <v>4</v>
      </c>
      <c r="AF18" s="26">
        <f t="shared" si="13"/>
        <v>5</v>
      </c>
      <c r="AG18" s="26">
        <f t="shared" si="13"/>
        <v>5</v>
      </c>
      <c r="AH18" s="26">
        <f t="shared" si="13"/>
        <v>5</v>
      </c>
      <c r="AI18" s="26">
        <f t="shared" si="13"/>
        <v>5</v>
      </c>
      <c r="AJ18" s="26">
        <f t="shared" si="13"/>
        <v>6</v>
      </c>
      <c r="AK18" s="26">
        <f t="shared" si="13"/>
        <v>6</v>
      </c>
      <c r="AL18" s="26">
        <f t="shared" si="13"/>
        <v>9</v>
      </c>
      <c r="AM18" s="26">
        <f t="shared" si="13"/>
        <v>9</v>
      </c>
      <c r="AN18" s="26">
        <f t="shared" si="13"/>
        <v>10</v>
      </c>
      <c r="AO18" s="26">
        <f t="shared" si="13"/>
        <v>13</v>
      </c>
      <c r="AP18" s="26">
        <f t="shared" si="13"/>
        <v>16</v>
      </c>
      <c r="AQ18" s="26">
        <f t="shared" si="13"/>
        <v>16</v>
      </c>
      <c r="AR18" s="26">
        <f t="shared" si="13"/>
        <v>17</v>
      </c>
      <c r="AS18" s="26">
        <f t="shared" si="13"/>
        <v>17</v>
      </c>
      <c r="AT18" s="26">
        <f t="shared" si="13"/>
        <v>17</v>
      </c>
      <c r="AU18" s="26">
        <f t="shared" si="13"/>
        <v>20</v>
      </c>
    </row>
    <row r="19" spans="1:47" x14ac:dyDescent="0.25">
      <c r="B19" s="25" t="str">
        <f t="shared" si="0"/>
        <v/>
      </c>
      <c r="E19" s="26"/>
      <c r="F19" s="26"/>
      <c r="I19" s="25" t="str">
        <f t="shared" si="1"/>
        <v/>
      </c>
      <c r="Y19" s="31" t="s">
        <v>219</v>
      </c>
      <c r="Z19" s="26">
        <f t="shared" si="12"/>
        <v>0</v>
      </c>
      <c r="AA19" s="26">
        <f t="shared" si="13"/>
        <v>3</v>
      </c>
      <c r="AB19" s="26">
        <f t="shared" si="13"/>
        <v>6</v>
      </c>
      <c r="AC19" s="26">
        <f t="shared" si="13"/>
        <v>6</v>
      </c>
      <c r="AD19" s="26">
        <f t="shared" si="13"/>
        <v>6</v>
      </c>
      <c r="AE19" s="26">
        <f t="shared" si="13"/>
        <v>6</v>
      </c>
      <c r="AF19" s="26">
        <f t="shared" si="13"/>
        <v>9</v>
      </c>
      <c r="AG19" s="26">
        <f t="shared" si="13"/>
        <v>12</v>
      </c>
      <c r="AH19" s="26">
        <f t="shared" si="13"/>
        <v>15</v>
      </c>
      <c r="AI19" s="26">
        <f t="shared" si="13"/>
        <v>16</v>
      </c>
      <c r="AJ19" s="26">
        <f t="shared" si="13"/>
        <v>19</v>
      </c>
      <c r="AK19" s="26">
        <f t="shared" si="13"/>
        <v>20</v>
      </c>
      <c r="AL19" s="26">
        <f t="shared" si="13"/>
        <v>23</v>
      </c>
      <c r="AM19" s="26">
        <f t="shared" si="13"/>
        <v>24</v>
      </c>
      <c r="AN19" s="26">
        <f t="shared" si="13"/>
        <v>27</v>
      </c>
      <c r="AO19" s="26">
        <f t="shared" si="13"/>
        <v>27</v>
      </c>
      <c r="AP19" s="26">
        <f t="shared" si="13"/>
        <v>30</v>
      </c>
      <c r="AQ19" s="26">
        <f t="shared" si="13"/>
        <v>33</v>
      </c>
      <c r="AR19" s="26">
        <f t="shared" si="13"/>
        <v>33</v>
      </c>
      <c r="AS19" s="26">
        <f t="shared" si="13"/>
        <v>36</v>
      </c>
      <c r="AT19" s="26">
        <f t="shared" si="13"/>
        <v>39</v>
      </c>
      <c r="AU19" s="26">
        <f t="shared" si="13"/>
        <v>42</v>
      </c>
    </row>
    <row r="20" spans="1:47" ht="15.75" thickBot="1" x14ac:dyDescent="0.3">
      <c r="A20" t="s">
        <v>16</v>
      </c>
      <c r="B20" s="25">
        <f t="shared" si="0"/>
        <v>3</v>
      </c>
      <c r="D20" t="s">
        <v>104</v>
      </c>
      <c r="E20" s="26">
        <v>6</v>
      </c>
      <c r="F20" s="26">
        <v>4</v>
      </c>
      <c r="G20" t="s">
        <v>36</v>
      </c>
      <c r="I20" s="25">
        <f t="shared" si="1"/>
        <v>0</v>
      </c>
      <c r="Y20" s="32" t="s">
        <v>36</v>
      </c>
      <c r="Z20" s="26">
        <f t="shared" si="12"/>
        <v>3</v>
      </c>
      <c r="AA20" s="26">
        <f t="shared" si="13"/>
        <v>3</v>
      </c>
      <c r="AB20" s="26">
        <f t="shared" si="13"/>
        <v>4</v>
      </c>
      <c r="AC20" s="26">
        <f t="shared" si="13"/>
        <v>4</v>
      </c>
      <c r="AD20" s="26">
        <f t="shared" si="13"/>
        <v>5</v>
      </c>
      <c r="AE20" s="26">
        <f t="shared" si="13"/>
        <v>5</v>
      </c>
      <c r="AF20" s="26">
        <f t="shared" si="13"/>
        <v>8</v>
      </c>
      <c r="AG20" s="26">
        <f t="shared" si="13"/>
        <v>8</v>
      </c>
      <c r="AH20" s="26">
        <f t="shared" si="13"/>
        <v>8</v>
      </c>
      <c r="AI20" s="26">
        <f t="shared" si="13"/>
        <v>8</v>
      </c>
      <c r="AJ20" s="26">
        <f t="shared" si="13"/>
        <v>8</v>
      </c>
      <c r="AK20" s="26">
        <f t="shared" si="13"/>
        <v>8</v>
      </c>
      <c r="AL20" s="26">
        <f t="shared" si="13"/>
        <v>8</v>
      </c>
      <c r="AM20" s="26">
        <f t="shared" si="13"/>
        <v>8</v>
      </c>
      <c r="AN20" s="26">
        <f t="shared" si="13"/>
        <v>9</v>
      </c>
      <c r="AO20" s="26">
        <f t="shared" si="13"/>
        <v>9</v>
      </c>
      <c r="AP20" s="26">
        <f t="shared" si="13"/>
        <v>12</v>
      </c>
      <c r="AQ20" s="26">
        <f t="shared" si="13"/>
        <v>12</v>
      </c>
      <c r="AR20" s="26">
        <f t="shared" si="13"/>
        <v>13</v>
      </c>
      <c r="AS20" s="26">
        <f t="shared" si="13"/>
        <v>13</v>
      </c>
      <c r="AT20" s="26">
        <f t="shared" si="13"/>
        <v>16</v>
      </c>
      <c r="AU20" s="26">
        <f t="shared" si="13"/>
        <v>16</v>
      </c>
    </row>
    <row r="21" spans="1:47" ht="15.75" thickBot="1" x14ac:dyDescent="0.3">
      <c r="A21" t="s">
        <v>16</v>
      </c>
      <c r="B21" s="25">
        <f t="shared" si="0"/>
        <v>3</v>
      </c>
      <c r="D21" t="s">
        <v>196</v>
      </c>
      <c r="E21" s="26">
        <v>3</v>
      </c>
      <c r="F21" s="26">
        <v>1</v>
      </c>
      <c r="G21" t="s">
        <v>236</v>
      </c>
      <c r="I21" s="25">
        <f t="shared" si="1"/>
        <v>0</v>
      </c>
      <c r="Y21" s="18" t="s">
        <v>150</v>
      </c>
      <c r="Z21" s="26">
        <f t="shared" si="12"/>
        <v>0</v>
      </c>
      <c r="AA21" s="26">
        <f t="shared" si="13"/>
        <v>0</v>
      </c>
      <c r="AB21" s="26">
        <f t="shared" si="13"/>
        <v>0</v>
      </c>
      <c r="AC21" s="26">
        <f t="shared" si="13"/>
        <v>0</v>
      </c>
      <c r="AD21" s="26">
        <f t="shared" si="13"/>
        <v>0</v>
      </c>
      <c r="AE21" s="26">
        <f t="shared" si="13"/>
        <v>0</v>
      </c>
      <c r="AF21" s="26">
        <f t="shared" si="13"/>
        <v>0</v>
      </c>
      <c r="AG21" s="26">
        <f t="shared" si="13"/>
        <v>1</v>
      </c>
      <c r="AH21" s="26">
        <f t="shared" si="13"/>
        <v>4</v>
      </c>
      <c r="AI21" s="26">
        <f t="shared" si="13"/>
        <v>4</v>
      </c>
      <c r="AJ21" s="26">
        <f t="shared" si="13"/>
        <v>4</v>
      </c>
      <c r="AK21" s="26">
        <f t="shared" si="13"/>
        <v>7</v>
      </c>
      <c r="AL21" s="26">
        <f t="shared" si="13"/>
        <v>7</v>
      </c>
      <c r="AM21" s="26">
        <f t="shared" si="13"/>
        <v>7</v>
      </c>
      <c r="AN21" s="26">
        <f t="shared" si="13"/>
        <v>7</v>
      </c>
      <c r="AO21" s="26">
        <f t="shared" si="13"/>
        <v>10</v>
      </c>
      <c r="AP21" s="26">
        <f t="shared" si="13"/>
        <v>10</v>
      </c>
      <c r="AQ21" s="26">
        <f t="shared" si="13"/>
        <v>11</v>
      </c>
      <c r="AR21" s="26">
        <f t="shared" si="13"/>
        <v>12</v>
      </c>
      <c r="AS21" s="26">
        <f t="shared" si="13"/>
        <v>12</v>
      </c>
      <c r="AT21" s="26">
        <f t="shared" si="13"/>
        <v>12</v>
      </c>
      <c r="AU21" s="26">
        <f t="shared" si="13"/>
        <v>12</v>
      </c>
    </row>
    <row r="22" spans="1:47" x14ac:dyDescent="0.25">
      <c r="A22" t="s">
        <v>16</v>
      </c>
      <c r="B22" s="25">
        <f t="shared" si="0"/>
        <v>0</v>
      </c>
      <c r="D22" t="s">
        <v>219</v>
      </c>
      <c r="E22" s="26">
        <v>4</v>
      </c>
      <c r="F22" s="26">
        <v>8</v>
      </c>
      <c r="G22" t="s">
        <v>124</v>
      </c>
      <c r="I22" s="25">
        <f t="shared" si="1"/>
        <v>3</v>
      </c>
      <c r="Y22" s="33" t="s">
        <v>65</v>
      </c>
      <c r="Z22" s="26">
        <f t="shared" si="12"/>
        <v>3</v>
      </c>
      <c r="AA22" s="26">
        <f t="shared" si="13"/>
        <v>6</v>
      </c>
      <c r="AB22" s="26">
        <f t="shared" si="13"/>
        <v>6</v>
      </c>
      <c r="AC22" s="26">
        <f t="shared" si="13"/>
        <v>9</v>
      </c>
      <c r="AD22" s="26">
        <f t="shared" si="13"/>
        <v>12</v>
      </c>
      <c r="AE22" s="26">
        <f t="shared" si="13"/>
        <v>13</v>
      </c>
      <c r="AF22" s="26">
        <f t="shared" si="13"/>
        <v>16</v>
      </c>
      <c r="AG22" s="26">
        <f t="shared" si="13"/>
        <v>19</v>
      </c>
      <c r="AH22" s="26">
        <f t="shared" si="13"/>
        <v>22</v>
      </c>
      <c r="AI22" s="26">
        <f t="shared" si="13"/>
        <v>23</v>
      </c>
      <c r="AJ22" s="26">
        <f t="shared" si="13"/>
        <v>26</v>
      </c>
      <c r="AK22" s="26">
        <f t="shared" si="13"/>
        <v>29</v>
      </c>
      <c r="AL22" s="26">
        <f t="shared" si="13"/>
        <v>29</v>
      </c>
      <c r="AM22" s="26">
        <f t="shared" si="13"/>
        <v>32</v>
      </c>
      <c r="AN22" s="26">
        <f t="shared" si="13"/>
        <v>32</v>
      </c>
      <c r="AO22" s="26">
        <f t="shared" si="13"/>
        <v>35</v>
      </c>
      <c r="AP22" s="26">
        <f t="shared" si="13"/>
        <v>38</v>
      </c>
      <c r="AQ22" s="26">
        <f t="shared" si="13"/>
        <v>41</v>
      </c>
      <c r="AR22" s="26">
        <f t="shared" si="13"/>
        <v>42</v>
      </c>
      <c r="AS22" s="26">
        <f t="shared" si="13"/>
        <v>45</v>
      </c>
      <c r="AT22" s="26">
        <f t="shared" si="13"/>
        <v>48</v>
      </c>
      <c r="AU22" s="26">
        <f t="shared" si="13"/>
        <v>51</v>
      </c>
    </row>
    <row r="23" spans="1:47" x14ac:dyDescent="0.25">
      <c r="A23" t="s">
        <v>16</v>
      </c>
      <c r="B23" s="25">
        <f t="shared" si="0"/>
        <v>0</v>
      </c>
      <c r="D23" t="s">
        <v>80</v>
      </c>
      <c r="E23" s="26">
        <v>2</v>
      </c>
      <c r="F23" s="26">
        <v>5</v>
      </c>
      <c r="G23" t="s">
        <v>65</v>
      </c>
      <c r="I23" s="25">
        <f t="shared" si="1"/>
        <v>3</v>
      </c>
      <c r="Y23" s="26" t="s">
        <v>196</v>
      </c>
      <c r="Z23" s="26">
        <f t="shared" si="12"/>
        <v>3</v>
      </c>
      <c r="AA23" s="26">
        <f t="shared" si="13"/>
        <v>4</v>
      </c>
      <c r="AB23" s="26">
        <f t="shared" si="13"/>
        <v>5</v>
      </c>
      <c r="AC23" s="26">
        <f t="shared" si="13"/>
        <v>8</v>
      </c>
      <c r="AD23" s="26">
        <f t="shared" si="13"/>
        <v>11</v>
      </c>
      <c r="AE23" s="26">
        <f t="shared" si="13"/>
        <v>14</v>
      </c>
      <c r="AF23" s="26">
        <f t="shared" si="13"/>
        <v>14</v>
      </c>
      <c r="AG23" s="26">
        <f t="shared" si="13"/>
        <v>14</v>
      </c>
      <c r="AH23" s="26">
        <f t="shared" si="13"/>
        <v>17</v>
      </c>
      <c r="AI23" s="26">
        <f t="shared" si="13"/>
        <v>18</v>
      </c>
      <c r="AJ23" s="26">
        <f t="shared" si="13"/>
        <v>18</v>
      </c>
      <c r="AK23" s="26">
        <f t="shared" si="13"/>
        <v>21</v>
      </c>
      <c r="AL23" s="26">
        <f t="shared" si="13"/>
        <v>24</v>
      </c>
      <c r="AM23" s="26">
        <f t="shared" si="13"/>
        <v>24</v>
      </c>
      <c r="AN23" s="26">
        <f t="shared" si="13"/>
        <v>27</v>
      </c>
      <c r="AO23" s="26">
        <f t="shared" si="13"/>
        <v>28</v>
      </c>
      <c r="AP23" s="26">
        <f t="shared" si="13"/>
        <v>28</v>
      </c>
      <c r="AQ23" s="26">
        <f t="shared" si="13"/>
        <v>28</v>
      </c>
      <c r="AR23" s="26">
        <f t="shared" si="13"/>
        <v>31</v>
      </c>
      <c r="AS23" s="26">
        <f t="shared" si="13"/>
        <v>31</v>
      </c>
      <c r="AT23" s="26">
        <f t="shared" si="13"/>
        <v>34</v>
      </c>
      <c r="AU23" s="26">
        <f t="shared" si="13"/>
        <v>34</v>
      </c>
    </row>
    <row r="24" spans="1:47" x14ac:dyDescent="0.25">
      <c r="A24" t="s">
        <v>16</v>
      </c>
      <c r="B24" s="25">
        <f t="shared" si="0"/>
        <v>3</v>
      </c>
      <c r="D24" t="s">
        <v>177</v>
      </c>
      <c r="E24" s="26">
        <v>4</v>
      </c>
      <c r="F24" s="26">
        <v>2</v>
      </c>
      <c r="G24" t="s">
        <v>150</v>
      </c>
      <c r="I24" s="25">
        <f t="shared" si="1"/>
        <v>0</v>
      </c>
      <c r="Y24" s="34" t="s">
        <v>80</v>
      </c>
      <c r="Z24" s="26">
        <f t="shared" si="12"/>
        <v>0</v>
      </c>
      <c r="AA24" s="26">
        <f t="shared" si="13"/>
        <v>3</v>
      </c>
      <c r="AB24" s="26">
        <f t="shared" si="13"/>
        <v>4</v>
      </c>
      <c r="AC24" s="26">
        <f t="shared" si="13"/>
        <v>4</v>
      </c>
      <c r="AD24" s="26">
        <f t="shared" si="13"/>
        <v>4</v>
      </c>
      <c r="AE24" s="26">
        <f t="shared" si="13"/>
        <v>4</v>
      </c>
      <c r="AF24" s="26">
        <f t="shared" si="13"/>
        <v>4</v>
      </c>
      <c r="AG24" s="26">
        <f t="shared" si="13"/>
        <v>4</v>
      </c>
      <c r="AH24" s="26">
        <f t="shared" si="13"/>
        <v>4</v>
      </c>
      <c r="AI24" s="26">
        <f t="shared" si="13"/>
        <v>4</v>
      </c>
      <c r="AJ24" s="26">
        <f t="shared" si="13"/>
        <v>7</v>
      </c>
      <c r="AK24" s="26">
        <f t="shared" si="13"/>
        <v>7</v>
      </c>
      <c r="AL24" s="26">
        <f t="shared" si="13"/>
        <v>7</v>
      </c>
      <c r="AM24" s="26">
        <f t="shared" si="13"/>
        <v>7</v>
      </c>
      <c r="AN24" s="26">
        <f t="shared" si="13"/>
        <v>7</v>
      </c>
      <c r="AO24" s="26">
        <f t="shared" si="13"/>
        <v>7</v>
      </c>
      <c r="AP24" s="26">
        <f t="shared" si="13"/>
        <v>7</v>
      </c>
      <c r="AQ24" s="26">
        <f t="shared" si="13"/>
        <v>7</v>
      </c>
      <c r="AR24" s="26">
        <f t="shared" si="13"/>
        <v>7</v>
      </c>
      <c r="AS24" s="26">
        <f t="shared" si="13"/>
        <v>10</v>
      </c>
      <c r="AT24" s="26">
        <f t="shared" si="13"/>
        <v>10</v>
      </c>
      <c r="AU24" s="26">
        <f t="shared" si="13"/>
        <v>13</v>
      </c>
    </row>
    <row r="25" spans="1:47" x14ac:dyDescent="0.25">
      <c r="B25" s="25" t="str">
        <f t="shared" si="0"/>
        <v/>
      </c>
      <c r="E25" s="26"/>
      <c r="F25" s="26"/>
      <c r="I25" s="25" t="str">
        <f t="shared" si="1"/>
        <v/>
      </c>
      <c r="Y25" s="35" t="s">
        <v>236</v>
      </c>
      <c r="Z25" s="26">
        <f t="shared" si="12"/>
        <v>3</v>
      </c>
      <c r="AA25" s="26">
        <f t="shared" si="13"/>
        <v>3</v>
      </c>
      <c r="AB25" s="26">
        <f t="shared" si="13"/>
        <v>3</v>
      </c>
      <c r="AC25" s="26">
        <f t="shared" si="13"/>
        <v>3</v>
      </c>
      <c r="AD25" s="26">
        <f t="shared" si="13"/>
        <v>6</v>
      </c>
      <c r="AE25" s="26">
        <f t="shared" si="13"/>
        <v>9</v>
      </c>
      <c r="AF25" s="26">
        <f t="shared" si="13"/>
        <v>10</v>
      </c>
      <c r="AG25" s="26">
        <f t="shared" si="13"/>
        <v>11</v>
      </c>
      <c r="AH25" s="26">
        <f t="shared" si="13"/>
        <v>12</v>
      </c>
      <c r="AI25" s="26">
        <f t="shared" si="13"/>
        <v>13</v>
      </c>
      <c r="AJ25" s="26">
        <f t="shared" si="13"/>
        <v>13</v>
      </c>
      <c r="AK25" s="26">
        <f t="shared" si="13"/>
        <v>14</v>
      </c>
      <c r="AL25" s="26">
        <f t="shared" si="13"/>
        <v>14</v>
      </c>
      <c r="AM25" s="26">
        <f t="shared" si="13"/>
        <v>17</v>
      </c>
      <c r="AN25" s="26">
        <f t="shared" si="13"/>
        <v>20</v>
      </c>
      <c r="AO25" s="26">
        <f t="shared" si="13"/>
        <v>23</v>
      </c>
      <c r="AP25" s="26">
        <f t="shared" si="13"/>
        <v>23</v>
      </c>
      <c r="AQ25" s="26">
        <f t="shared" si="13"/>
        <v>24</v>
      </c>
      <c r="AR25" s="26">
        <f t="shared" si="13"/>
        <v>24</v>
      </c>
      <c r="AS25" s="26">
        <f t="shared" si="13"/>
        <v>24</v>
      </c>
      <c r="AT25" s="26">
        <f t="shared" si="13"/>
        <v>24</v>
      </c>
      <c r="AU25" s="26">
        <f t="shared" si="13"/>
        <v>24</v>
      </c>
    </row>
    <row r="26" spans="1:47" x14ac:dyDescent="0.25">
      <c r="A26" t="s">
        <v>17</v>
      </c>
      <c r="B26" s="25">
        <f t="shared" si="0"/>
        <v>1</v>
      </c>
      <c r="D26" t="s">
        <v>36</v>
      </c>
      <c r="E26" s="26">
        <v>5</v>
      </c>
      <c r="F26" s="26">
        <v>5</v>
      </c>
      <c r="G26" t="s">
        <v>256</v>
      </c>
      <c r="I26" s="25">
        <f t="shared" si="1"/>
        <v>1</v>
      </c>
      <c r="Y26" s="36" t="s">
        <v>124</v>
      </c>
      <c r="Z26" s="26">
        <f t="shared" si="12"/>
        <v>0</v>
      </c>
      <c r="AA26" s="26">
        <f t="shared" si="13"/>
        <v>0</v>
      </c>
      <c r="AB26" s="26">
        <f t="shared" si="13"/>
        <v>1</v>
      </c>
      <c r="AC26" s="26">
        <f t="shared" si="13"/>
        <v>4</v>
      </c>
      <c r="AD26" s="26">
        <f t="shared" si="13"/>
        <v>7</v>
      </c>
      <c r="AE26" s="26">
        <f t="shared" si="13"/>
        <v>7</v>
      </c>
      <c r="AF26" s="26">
        <f t="shared" si="13"/>
        <v>10</v>
      </c>
      <c r="AG26" s="26">
        <f t="shared" si="13"/>
        <v>13</v>
      </c>
      <c r="AH26" s="26">
        <f t="shared" si="13"/>
        <v>14</v>
      </c>
      <c r="AI26" s="26">
        <f t="shared" si="13"/>
        <v>17</v>
      </c>
      <c r="AJ26" s="26">
        <f t="shared" si="13"/>
        <v>18</v>
      </c>
      <c r="AK26" s="26">
        <f t="shared" si="13"/>
        <v>18</v>
      </c>
      <c r="AL26" s="26">
        <f t="shared" si="13"/>
        <v>21</v>
      </c>
      <c r="AM26" s="26">
        <f t="shared" si="13"/>
        <v>22</v>
      </c>
      <c r="AN26" s="26">
        <f t="shared" si="13"/>
        <v>25</v>
      </c>
      <c r="AO26" s="26">
        <f t="shared" si="13"/>
        <v>26</v>
      </c>
      <c r="AP26" s="26">
        <f t="shared" si="13"/>
        <v>29</v>
      </c>
      <c r="AQ26" s="26">
        <f t="shared" si="13"/>
        <v>32</v>
      </c>
      <c r="AR26" s="26">
        <f t="shared" si="13"/>
        <v>35</v>
      </c>
      <c r="AS26" s="26">
        <f t="shared" si="13"/>
        <v>38</v>
      </c>
      <c r="AT26" s="26">
        <f t="shared" si="13"/>
        <v>41</v>
      </c>
      <c r="AU26" s="26">
        <f t="shared" si="13"/>
        <v>41</v>
      </c>
    </row>
    <row r="27" spans="1:47" ht="15.75" thickBot="1" x14ac:dyDescent="0.3">
      <c r="A27" t="s">
        <v>17</v>
      </c>
      <c r="B27" s="25">
        <f t="shared" si="0"/>
        <v>3</v>
      </c>
      <c r="D27" t="s">
        <v>236</v>
      </c>
      <c r="E27" s="26">
        <v>7</v>
      </c>
      <c r="F27" s="26">
        <v>3</v>
      </c>
      <c r="G27" t="s">
        <v>104</v>
      </c>
      <c r="I27" s="25">
        <f t="shared" si="1"/>
        <v>0</v>
      </c>
      <c r="Y27" s="37" t="s">
        <v>177</v>
      </c>
      <c r="Z27" s="26">
        <f t="shared" si="12"/>
        <v>3</v>
      </c>
      <c r="AA27" s="26">
        <f t="shared" si="13"/>
        <v>6</v>
      </c>
      <c r="AB27" s="26">
        <f t="shared" si="13"/>
        <v>9</v>
      </c>
      <c r="AC27" s="26">
        <f t="shared" si="13"/>
        <v>12</v>
      </c>
      <c r="AD27" s="26">
        <f t="shared" si="13"/>
        <v>12</v>
      </c>
      <c r="AE27" s="26">
        <f t="shared" si="13"/>
        <v>13</v>
      </c>
      <c r="AF27" s="26">
        <f t="shared" si="13"/>
        <v>13</v>
      </c>
      <c r="AG27" s="26">
        <f t="shared" si="13"/>
        <v>16</v>
      </c>
      <c r="AH27" s="26">
        <f t="shared" si="13"/>
        <v>16</v>
      </c>
      <c r="AI27" s="26">
        <f t="shared" si="13"/>
        <v>19</v>
      </c>
      <c r="AJ27" s="26">
        <f t="shared" si="13"/>
        <v>22</v>
      </c>
      <c r="AK27" s="26">
        <f t="shared" si="13"/>
        <v>25</v>
      </c>
      <c r="AL27" s="26">
        <f t="shared" si="13"/>
        <v>28</v>
      </c>
      <c r="AM27" s="26">
        <f t="shared" si="13"/>
        <v>31</v>
      </c>
      <c r="AN27" s="26">
        <f t="shared" si="13"/>
        <v>31</v>
      </c>
      <c r="AO27" s="26">
        <f t="shared" si="13"/>
        <v>31</v>
      </c>
      <c r="AP27" s="26">
        <f t="shared" si="13"/>
        <v>31</v>
      </c>
      <c r="AQ27" s="26">
        <f t="shared" si="13"/>
        <v>34</v>
      </c>
      <c r="AR27" s="26">
        <f t="shared" si="13"/>
        <v>37</v>
      </c>
      <c r="AS27" s="26">
        <f t="shared" si="13"/>
        <v>40</v>
      </c>
      <c r="AT27" s="26">
        <f t="shared" si="13"/>
        <v>40</v>
      </c>
      <c r="AU27" s="26">
        <f t="shared" si="13"/>
        <v>43</v>
      </c>
    </row>
    <row r="28" spans="1:47" ht="15.75" thickBot="1" x14ac:dyDescent="0.3">
      <c r="A28" t="s">
        <v>17</v>
      </c>
      <c r="B28" s="25">
        <f t="shared" si="0"/>
        <v>3</v>
      </c>
      <c r="D28" t="s">
        <v>124</v>
      </c>
      <c r="E28" s="26">
        <v>6</v>
      </c>
      <c r="F28" s="26">
        <v>2</v>
      </c>
      <c r="G28" t="s">
        <v>177</v>
      </c>
      <c r="I28" s="25">
        <f t="shared" si="1"/>
        <v>0</v>
      </c>
      <c r="Y28" s="15" t="s">
        <v>104</v>
      </c>
      <c r="Z28" s="26">
        <f t="shared" si="12"/>
        <v>0</v>
      </c>
      <c r="AA28" s="26">
        <f t="shared" si="13"/>
        <v>1</v>
      </c>
      <c r="AB28" s="26">
        <f t="shared" si="13"/>
        <v>4</v>
      </c>
      <c r="AC28" s="26">
        <f t="shared" si="13"/>
        <v>7</v>
      </c>
      <c r="AD28" s="26">
        <f t="shared" si="13"/>
        <v>7</v>
      </c>
      <c r="AE28" s="26">
        <f t="shared" si="13"/>
        <v>10</v>
      </c>
      <c r="AF28" s="26">
        <f t="shared" si="13"/>
        <v>10</v>
      </c>
      <c r="AG28" s="26">
        <f t="shared" si="13"/>
        <v>10</v>
      </c>
      <c r="AH28" s="26">
        <f t="shared" si="13"/>
        <v>10</v>
      </c>
      <c r="AI28" s="26">
        <f t="shared" si="13"/>
        <v>13</v>
      </c>
      <c r="AJ28" s="26">
        <f t="shared" si="13"/>
        <v>13</v>
      </c>
      <c r="AK28" s="26">
        <f t="shared" si="13"/>
        <v>13</v>
      </c>
      <c r="AL28" s="26">
        <f t="shared" si="13"/>
        <v>13</v>
      </c>
      <c r="AM28" s="26">
        <f t="shared" si="13"/>
        <v>16</v>
      </c>
      <c r="AN28" s="26">
        <f t="shared" si="13"/>
        <v>16</v>
      </c>
      <c r="AO28" s="26">
        <f t="shared" si="13"/>
        <v>16</v>
      </c>
      <c r="AP28" s="26">
        <f t="shared" si="13"/>
        <v>16</v>
      </c>
      <c r="AQ28" s="26">
        <f t="shared" si="13"/>
        <v>16</v>
      </c>
      <c r="AR28" s="26">
        <f t="shared" si="13"/>
        <v>16</v>
      </c>
      <c r="AS28" s="26">
        <f t="shared" si="13"/>
        <v>16</v>
      </c>
      <c r="AT28" s="26">
        <f t="shared" si="13"/>
        <v>16</v>
      </c>
      <c r="AU28" s="26">
        <f t="shared" si="13"/>
        <v>16</v>
      </c>
    </row>
    <row r="29" spans="1:47" x14ac:dyDescent="0.25">
      <c r="A29" t="s">
        <v>17</v>
      </c>
      <c r="B29" s="25">
        <f t="shared" si="0"/>
        <v>0</v>
      </c>
      <c r="D29" t="s">
        <v>150</v>
      </c>
      <c r="E29" s="26">
        <v>3</v>
      </c>
      <c r="F29" s="26">
        <v>6</v>
      </c>
      <c r="G29" t="s">
        <v>196</v>
      </c>
      <c r="I29" s="25">
        <f t="shared" si="1"/>
        <v>3</v>
      </c>
    </row>
    <row r="30" spans="1:47" x14ac:dyDescent="0.25">
      <c r="A30" t="s">
        <v>17</v>
      </c>
      <c r="B30" s="25">
        <f t="shared" si="0"/>
        <v>3</v>
      </c>
      <c r="D30" t="s">
        <v>65</v>
      </c>
      <c r="E30" s="26">
        <v>4</v>
      </c>
      <c r="F30" s="26">
        <v>1</v>
      </c>
      <c r="G30" t="s">
        <v>219</v>
      </c>
      <c r="I30" s="25">
        <f t="shared" si="1"/>
        <v>0</v>
      </c>
      <c r="Y30" t="s">
        <v>291</v>
      </c>
    </row>
    <row r="31" spans="1:47" x14ac:dyDescent="0.25">
      <c r="B31" s="25" t="str">
        <f t="shared" si="0"/>
        <v/>
      </c>
      <c r="E31" s="26"/>
      <c r="F31" s="26"/>
      <c r="I31" s="25" t="str">
        <f t="shared" si="1"/>
        <v/>
      </c>
    </row>
    <row r="32" spans="1:47" x14ac:dyDescent="0.25">
      <c r="A32" t="s">
        <v>18</v>
      </c>
      <c r="B32" s="25">
        <f t="shared" si="0"/>
        <v>3</v>
      </c>
      <c r="D32" t="s">
        <v>104</v>
      </c>
      <c r="E32" s="26">
        <v>2</v>
      </c>
      <c r="F32" s="26">
        <v>0</v>
      </c>
      <c r="G32" t="s">
        <v>150</v>
      </c>
      <c r="I32" s="25">
        <f t="shared" si="1"/>
        <v>0</v>
      </c>
      <c r="Y32" s="38" t="s">
        <v>290</v>
      </c>
      <c r="Z32" s="38" t="s">
        <v>13</v>
      </c>
      <c r="AA32" s="38" t="s">
        <v>14</v>
      </c>
      <c r="AB32" s="38" t="s">
        <v>15</v>
      </c>
      <c r="AC32" s="38" t="s">
        <v>16</v>
      </c>
      <c r="AD32" s="38" t="s">
        <v>17</v>
      </c>
      <c r="AE32" s="38" t="s">
        <v>18</v>
      </c>
      <c r="AF32" s="38" t="s">
        <v>19</v>
      </c>
      <c r="AG32" s="38" t="s">
        <v>20</v>
      </c>
      <c r="AH32" s="38" t="s">
        <v>21</v>
      </c>
      <c r="AI32" s="38" t="s">
        <v>22</v>
      </c>
      <c r="AJ32" s="38" t="s">
        <v>23</v>
      </c>
      <c r="AK32" s="38" t="s">
        <v>24</v>
      </c>
      <c r="AL32" s="38" t="s">
        <v>25</v>
      </c>
      <c r="AM32" s="38" t="s">
        <v>26</v>
      </c>
      <c r="AN32" s="38" t="s">
        <v>27</v>
      </c>
      <c r="AO32" s="38" t="s">
        <v>28</v>
      </c>
      <c r="AP32" s="38" t="s">
        <v>29</v>
      </c>
      <c r="AQ32" s="38" t="s">
        <v>30</v>
      </c>
      <c r="AR32" s="38" t="s">
        <v>31</v>
      </c>
      <c r="AS32" s="38" t="s">
        <v>32</v>
      </c>
      <c r="AT32" s="38" t="s">
        <v>33</v>
      </c>
      <c r="AU32" s="38" t="s">
        <v>34</v>
      </c>
    </row>
    <row r="33" spans="1:47" x14ac:dyDescent="0.25">
      <c r="A33" t="s">
        <v>18</v>
      </c>
      <c r="B33" s="25">
        <f t="shared" si="0"/>
        <v>3</v>
      </c>
      <c r="D33" t="s">
        <v>196</v>
      </c>
      <c r="E33" s="26">
        <v>4</v>
      </c>
      <c r="F33" s="26">
        <v>1</v>
      </c>
      <c r="G33" t="s">
        <v>124</v>
      </c>
      <c r="I33" s="25">
        <f t="shared" si="1"/>
        <v>0</v>
      </c>
      <c r="Y33" s="28" t="s">
        <v>256</v>
      </c>
      <c r="Z33" s="26">
        <f>SUMIFS($B:$B,$A:$A,Z$17,$D:$D,$Y33)+SUMIFS($I:$I,$A:$A,Z$17,$G:$G,$Y33)</f>
        <v>0</v>
      </c>
      <c r="AA33" s="26">
        <f t="shared" ref="AA33:AU43" si="14">SUMIFS($B:$B,$A:$A,AA$17,$D:$D,$Y33)+SUMIFS($I:$I,$A:$A,AA$17,$G:$G,$Y33)</f>
        <v>0</v>
      </c>
      <c r="AB33" s="26">
        <f t="shared" si="14"/>
        <v>0</v>
      </c>
      <c r="AC33" s="26">
        <f t="shared" si="14"/>
        <v>0</v>
      </c>
      <c r="AD33" s="26">
        <f t="shared" si="14"/>
        <v>1</v>
      </c>
      <c r="AE33" s="26">
        <f t="shared" si="14"/>
        <v>3</v>
      </c>
      <c r="AF33" s="26">
        <f t="shared" si="14"/>
        <v>1</v>
      </c>
      <c r="AG33" s="26">
        <f t="shared" si="14"/>
        <v>0</v>
      </c>
      <c r="AH33" s="26">
        <f t="shared" si="14"/>
        <v>0</v>
      </c>
      <c r="AI33" s="26">
        <f t="shared" si="14"/>
        <v>0</v>
      </c>
      <c r="AJ33" s="26">
        <f t="shared" si="14"/>
        <v>1</v>
      </c>
      <c r="AK33" s="26">
        <f t="shared" si="14"/>
        <v>0</v>
      </c>
      <c r="AL33" s="26">
        <f t="shared" si="14"/>
        <v>3</v>
      </c>
      <c r="AM33" s="26">
        <f t="shared" si="14"/>
        <v>0</v>
      </c>
      <c r="AN33" s="26">
        <f t="shared" si="14"/>
        <v>1</v>
      </c>
      <c r="AO33" s="26">
        <f t="shared" si="14"/>
        <v>3</v>
      </c>
      <c r="AP33" s="26">
        <f t="shared" si="14"/>
        <v>3</v>
      </c>
      <c r="AQ33" s="26">
        <f t="shared" si="14"/>
        <v>0</v>
      </c>
      <c r="AR33" s="26">
        <f t="shared" si="14"/>
        <v>1</v>
      </c>
      <c r="AS33" s="26">
        <f t="shared" si="14"/>
        <v>0</v>
      </c>
      <c r="AT33" s="26">
        <f t="shared" si="14"/>
        <v>0</v>
      </c>
      <c r="AU33" s="26">
        <f t="shared" si="14"/>
        <v>3</v>
      </c>
    </row>
    <row r="34" spans="1:47" x14ac:dyDescent="0.25">
      <c r="A34" t="s">
        <v>18</v>
      </c>
      <c r="B34" s="25">
        <f t="shared" si="0"/>
        <v>0</v>
      </c>
      <c r="D34" t="s">
        <v>36</v>
      </c>
      <c r="E34" s="26">
        <v>1</v>
      </c>
      <c r="F34" s="26">
        <v>4</v>
      </c>
      <c r="G34" t="s">
        <v>236</v>
      </c>
      <c r="I34" s="25">
        <f t="shared" si="1"/>
        <v>3</v>
      </c>
      <c r="Y34" s="31" t="s">
        <v>219</v>
      </c>
      <c r="Z34" s="26">
        <f t="shared" ref="Z34:AO43" si="15">SUMIFS($B:$B,$A:$A,Z$17,$D:$D,$Y34)+SUMIFS($I:$I,$A:$A,Z$17,$G:$G,$Y34)</f>
        <v>0</v>
      </c>
      <c r="AA34" s="26">
        <f t="shared" si="15"/>
        <v>3</v>
      </c>
      <c r="AB34" s="26">
        <f t="shared" si="15"/>
        <v>3</v>
      </c>
      <c r="AC34" s="26">
        <f t="shared" si="15"/>
        <v>0</v>
      </c>
      <c r="AD34" s="26">
        <f t="shared" si="15"/>
        <v>0</v>
      </c>
      <c r="AE34" s="26">
        <f t="shared" si="15"/>
        <v>0</v>
      </c>
      <c r="AF34" s="26">
        <f t="shared" si="15"/>
        <v>3</v>
      </c>
      <c r="AG34" s="26">
        <f t="shared" si="15"/>
        <v>3</v>
      </c>
      <c r="AH34" s="26">
        <f t="shared" si="15"/>
        <v>3</v>
      </c>
      <c r="AI34" s="26">
        <f t="shared" si="15"/>
        <v>1</v>
      </c>
      <c r="AJ34" s="26">
        <f t="shared" si="15"/>
        <v>3</v>
      </c>
      <c r="AK34" s="26">
        <f t="shared" si="15"/>
        <v>1</v>
      </c>
      <c r="AL34" s="26">
        <f t="shared" si="15"/>
        <v>3</v>
      </c>
      <c r="AM34" s="26">
        <f t="shared" si="15"/>
        <v>1</v>
      </c>
      <c r="AN34" s="26">
        <f t="shared" si="15"/>
        <v>3</v>
      </c>
      <c r="AO34" s="26">
        <f t="shared" si="15"/>
        <v>0</v>
      </c>
      <c r="AP34" s="26">
        <f t="shared" si="14"/>
        <v>3</v>
      </c>
      <c r="AQ34" s="26">
        <f t="shared" si="14"/>
        <v>3</v>
      </c>
      <c r="AR34" s="26">
        <f t="shared" si="14"/>
        <v>0</v>
      </c>
      <c r="AS34" s="26">
        <f t="shared" si="14"/>
        <v>3</v>
      </c>
      <c r="AT34" s="26">
        <f t="shared" si="14"/>
        <v>3</v>
      </c>
      <c r="AU34" s="26">
        <f t="shared" si="14"/>
        <v>3</v>
      </c>
    </row>
    <row r="35" spans="1:47" ht="15.75" thickBot="1" x14ac:dyDescent="0.3">
      <c r="A35" t="s">
        <v>18</v>
      </c>
      <c r="B35" s="25">
        <f t="shared" si="0"/>
        <v>3</v>
      </c>
      <c r="D35" t="s">
        <v>256</v>
      </c>
      <c r="E35" s="26">
        <v>8</v>
      </c>
      <c r="F35" s="26">
        <v>1</v>
      </c>
      <c r="G35" t="s">
        <v>80</v>
      </c>
      <c r="I35" s="25">
        <f t="shared" si="1"/>
        <v>0</v>
      </c>
      <c r="Y35" s="32" t="s">
        <v>36</v>
      </c>
      <c r="Z35" s="26">
        <f t="shared" si="15"/>
        <v>3</v>
      </c>
      <c r="AA35" s="26">
        <f t="shared" si="14"/>
        <v>0</v>
      </c>
      <c r="AB35" s="26">
        <f t="shared" si="14"/>
        <v>1</v>
      </c>
      <c r="AC35" s="26">
        <f t="shared" si="14"/>
        <v>0</v>
      </c>
      <c r="AD35" s="26">
        <f t="shared" si="14"/>
        <v>1</v>
      </c>
      <c r="AE35" s="26">
        <f t="shared" si="14"/>
        <v>0</v>
      </c>
      <c r="AF35" s="26">
        <f t="shared" si="14"/>
        <v>3</v>
      </c>
      <c r="AG35" s="26">
        <f t="shared" si="14"/>
        <v>0</v>
      </c>
      <c r="AH35" s="26">
        <f t="shared" si="14"/>
        <v>0</v>
      </c>
      <c r="AI35" s="26">
        <f t="shared" si="14"/>
        <v>0</v>
      </c>
      <c r="AJ35" s="26">
        <f t="shared" si="14"/>
        <v>0</v>
      </c>
      <c r="AK35" s="26">
        <f t="shared" si="14"/>
        <v>0</v>
      </c>
      <c r="AL35" s="26">
        <f t="shared" si="14"/>
        <v>0</v>
      </c>
      <c r="AM35" s="26">
        <f t="shared" si="14"/>
        <v>0</v>
      </c>
      <c r="AN35" s="26">
        <f t="shared" si="14"/>
        <v>1</v>
      </c>
      <c r="AO35" s="26">
        <f t="shared" si="14"/>
        <v>0</v>
      </c>
      <c r="AP35" s="26">
        <f t="shared" si="14"/>
        <v>3</v>
      </c>
      <c r="AQ35" s="26">
        <f t="shared" si="14"/>
        <v>0</v>
      </c>
      <c r="AR35" s="26">
        <f t="shared" si="14"/>
        <v>1</v>
      </c>
      <c r="AS35" s="26">
        <f t="shared" si="14"/>
        <v>0</v>
      </c>
      <c r="AT35" s="26">
        <f t="shared" si="14"/>
        <v>3</v>
      </c>
      <c r="AU35" s="26">
        <f t="shared" si="14"/>
        <v>0</v>
      </c>
    </row>
    <row r="36" spans="1:47" ht="15.75" thickBot="1" x14ac:dyDescent="0.3">
      <c r="A36" t="s">
        <v>18</v>
      </c>
      <c r="B36" s="25">
        <f t="shared" si="0"/>
        <v>1</v>
      </c>
      <c r="D36" t="s">
        <v>177</v>
      </c>
      <c r="E36" s="26">
        <v>2</v>
      </c>
      <c r="F36" s="26">
        <v>2</v>
      </c>
      <c r="G36" t="s">
        <v>65</v>
      </c>
      <c r="I36" s="25">
        <f t="shared" si="1"/>
        <v>1</v>
      </c>
      <c r="Y36" s="18" t="s">
        <v>150</v>
      </c>
      <c r="Z36" s="26">
        <f t="shared" si="15"/>
        <v>0</v>
      </c>
      <c r="AA36" s="26">
        <f t="shared" si="14"/>
        <v>0</v>
      </c>
      <c r="AB36" s="26">
        <f t="shared" si="14"/>
        <v>0</v>
      </c>
      <c r="AC36" s="26">
        <f t="shared" si="14"/>
        <v>0</v>
      </c>
      <c r="AD36" s="26">
        <f t="shared" si="14"/>
        <v>0</v>
      </c>
      <c r="AE36" s="26">
        <f t="shared" si="14"/>
        <v>0</v>
      </c>
      <c r="AF36" s="26">
        <f t="shared" si="14"/>
        <v>0</v>
      </c>
      <c r="AG36" s="26">
        <f t="shared" si="14"/>
        <v>1</v>
      </c>
      <c r="AH36" s="26">
        <f t="shared" si="14"/>
        <v>3</v>
      </c>
      <c r="AI36" s="26">
        <f t="shared" si="14"/>
        <v>0</v>
      </c>
      <c r="AJ36" s="26">
        <f t="shared" si="14"/>
        <v>0</v>
      </c>
      <c r="AK36" s="26">
        <f t="shared" si="14"/>
        <v>3</v>
      </c>
      <c r="AL36" s="26">
        <f t="shared" si="14"/>
        <v>0</v>
      </c>
      <c r="AM36" s="26">
        <f t="shared" si="14"/>
        <v>0</v>
      </c>
      <c r="AN36" s="26">
        <f t="shared" si="14"/>
        <v>0</v>
      </c>
      <c r="AO36" s="26">
        <f t="shared" si="14"/>
        <v>3</v>
      </c>
      <c r="AP36" s="26">
        <f t="shared" si="14"/>
        <v>0</v>
      </c>
      <c r="AQ36" s="26">
        <f t="shared" si="14"/>
        <v>1</v>
      </c>
      <c r="AR36" s="26">
        <f t="shared" si="14"/>
        <v>1</v>
      </c>
      <c r="AS36" s="26">
        <f t="shared" si="14"/>
        <v>0</v>
      </c>
      <c r="AT36" s="26">
        <f t="shared" si="14"/>
        <v>0</v>
      </c>
      <c r="AU36" s="26">
        <f t="shared" si="14"/>
        <v>0</v>
      </c>
    </row>
    <row r="37" spans="1:47" x14ac:dyDescent="0.25">
      <c r="B37" s="25" t="str">
        <f t="shared" si="0"/>
        <v/>
      </c>
      <c r="E37" s="26"/>
      <c r="F37" s="26"/>
      <c r="I37" s="25" t="str">
        <f t="shared" si="1"/>
        <v/>
      </c>
      <c r="Y37" s="33" t="s">
        <v>65</v>
      </c>
      <c r="Z37" s="26">
        <f t="shared" si="15"/>
        <v>3</v>
      </c>
      <c r="AA37" s="26">
        <f t="shared" si="14"/>
        <v>3</v>
      </c>
      <c r="AB37" s="26">
        <f t="shared" si="14"/>
        <v>0</v>
      </c>
      <c r="AC37" s="26">
        <f t="shared" si="14"/>
        <v>3</v>
      </c>
      <c r="AD37" s="26">
        <f t="shared" si="14"/>
        <v>3</v>
      </c>
      <c r="AE37" s="26">
        <f t="shared" si="14"/>
        <v>1</v>
      </c>
      <c r="AF37" s="26">
        <f t="shared" si="14"/>
        <v>3</v>
      </c>
      <c r="AG37" s="26">
        <f t="shared" si="14"/>
        <v>3</v>
      </c>
      <c r="AH37" s="26">
        <f t="shared" si="14"/>
        <v>3</v>
      </c>
      <c r="AI37" s="26">
        <f t="shared" si="14"/>
        <v>1</v>
      </c>
      <c r="AJ37" s="26">
        <f t="shared" si="14"/>
        <v>3</v>
      </c>
      <c r="AK37" s="26">
        <f t="shared" si="14"/>
        <v>3</v>
      </c>
      <c r="AL37" s="26">
        <f t="shared" si="14"/>
        <v>0</v>
      </c>
      <c r="AM37" s="26">
        <f t="shared" si="14"/>
        <v>3</v>
      </c>
      <c r="AN37" s="26">
        <f t="shared" si="14"/>
        <v>0</v>
      </c>
      <c r="AO37" s="26">
        <f t="shared" si="14"/>
        <v>3</v>
      </c>
      <c r="AP37" s="26">
        <f t="shared" si="14"/>
        <v>3</v>
      </c>
      <c r="AQ37" s="26">
        <f t="shared" si="14"/>
        <v>3</v>
      </c>
      <c r="AR37" s="26">
        <f t="shared" si="14"/>
        <v>1</v>
      </c>
      <c r="AS37" s="26">
        <f t="shared" si="14"/>
        <v>3</v>
      </c>
      <c r="AT37" s="26">
        <f t="shared" si="14"/>
        <v>3</v>
      </c>
      <c r="AU37" s="26">
        <f t="shared" si="14"/>
        <v>3</v>
      </c>
    </row>
    <row r="38" spans="1:47" x14ac:dyDescent="0.25">
      <c r="A38" t="s">
        <v>19</v>
      </c>
      <c r="B38" s="25">
        <f t="shared" si="0"/>
        <v>1</v>
      </c>
      <c r="D38" t="s">
        <v>236</v>
      </c>
      <c r="E38" s="26">
        <v>2</v>
      </c>
      <c r="F38" s="26">
        <v>2</v>
      </c>
      <c r="G38" t="s">
        <v>256</v>
      </c>
      <c r="I38" s="25">
        <f t="shared" si="1"/>
        <v>1</v>
      </c>
      <c r="Y38" s="26" t="s">
        <v>196</v>
      </c>
      <c r="Z38" s="26">
        <f t="shared" si="15"/>
        <v>3</v>
      </c>
      <c r="AA38" s="26">
        <f t="shared" si="14"/>
        <v>1</v>
      </c>
      <c r="AB38" s="26">
        <f t="shared" si="14"/>
        <v>1</v>
      </c>
      <c r="AC38" s="26">
        <f t="shared" si="14"/>
        <v>3</v>
      </c>
      <c r="AD38" s="26">
        <f t="shared" si="14"/>
        <v>3</v>
      </c>
      <c r="AE38" s="26">
        <f t="shared" si="14"/>
        <v>3</v>
      </c>
      <c r="AF38" s="26">
        <f t="shared" si="14"/>
        <v>0</v>
      </c>
      <c r="AG38" s="26">
        <f t="shared" si="14"/>
        <v>0</v>
      </c>
      <c r="AH38" s="26">
        <f t="shared" si="14"/>
        <v>3</v>
      </c>
      <c r="AI38" s="26">
        <f t="shared" si="14"/>
        <v>1</v>
      </c>
      <c r="AJ38" s="26">
        <f t="shared" si="14"/>
        <v>0</v>
      </c>
      <c r="AK38" s="26">
        <f t="shared" si="14"/>
        <v>3</v>
      </c>
      <c r="AL38" s="26">
        <f t="shared" si="14"/>
        <v>3</v>
      </c>
      <c r="AM38" s="26">
        <f t="shared" si="14"/>
        <v>0</v>
      </c>
      <c r="AN38" s="26">
        <f t="shared" si="14"/>
        <v>3</v>
      </c>
      <c r="AO38" s="26">
        <f t="shared" si="14"/>
        <v>1</v>
      </c>
      <c r="AP38" s="26">
        <f t="shared" si="14"/>
        <v>0</v>
      </c>
      <c r="AQ38" s="26">
        <f t="shared" si="14"/>
        <v>0</v>
      </c>
      <c r="AR38" s="26">
        <f t="shared" si="14"/>
        <v>3</v>
      </c>
      <c r="AS38" s="26">
        <f t="shared" si="14"/>
        <v>0</v>
      </c>
      <c r="AT38" s="26">
        <f t="shared" si="14"/>
        <v>3</v>
      </c>
      <c r="AU38" s="26">
        <f t="shared" si="14"/>
        <v>0</v>
      </c>
    </row>
    <row r="39" spans="1:47" x14ac:dyDescent="0.25">
      <c r="A39" t="s">
        <v>19</v>
      </c>
      <c r="B39" s="25">
        <f t="shared" si="0"/>
        <v>3</v>
      </c>
      <c r="D39" t="s">
        <v>124</v>
      </c>
      <c r="E39" s="26">
        <v>6</v>
      </c>
      <c r="F39" s="26">
        <v>3</v>
      </c>
      <c r="G39" t="s">
        <v>104</v>
      </c>
      <c r="I39" s="25">
        <f t="shared" si="1"/>
        <v>0</v>
      </c>
      <c r="Y39" s="34" t="s">
        <v>80</v>
      </c>
      <c r="Z39" s="26">
        <f t="shared" si="15"/>
        <v>0</v>
      </c>
      <c r="AA39" s="26">
        <f t="shared" si="14"/>
        <v>3</v>
      </c>
      <c r="AB39" s="26">
        <f t="shared" si="14"/>
        <v>1</v>
      </c>
      <c r="AC39" s="26">
        <f t="shared" si="14"/>
        <v>0</v>
      </c>
      <c r="AD39" s="26">
        <f t="shared" si="14"/>
        <v>0</v>
      </c>
      <c r="AE39" s="26">
        <f t="shared" si="14"/>
        <v>0</v>
      </c>
      <c r="AF39" s="26">
        <f t="shared" si="14"/>
        <v>0</v>
      </c>
      <c r="AG39" s="26">
        <f t="shared" si="14"/>
        <v>0</v>
      </c>
      <c r="AH39" s="26">
        <f t="shared" si="14"/>
        <v>0</v>
      </c>
      <c r="AI39" s="26">
        <f t="shared" si="14"/>
        <v>0</v>
      </c>
      <c r="AJ39" s="26">
        <f t="shared" si="14"/>
        <v>3</v>
      </c>
      <c r="AK39" s="26">
        <f t="shared" si="14"/>
        <v>0</v>
      </c>
      <c r="AL39" s="26">
        <f t="shared" si="14"/>
        <v>0</v>
      </c>
      <c r="AM39" s="26">
        <f t="shared" si="14"/>
        <v>0</v>
      </c>
      <c r="AN39" s="26">
        <f t="shared" si="14"/>
        <v>0</v>
      </c>
      <c r="AO39" s="26">
        <f t="shared" si="14"/>
        <v>0</v>
      </c>
      <c r="AP39" s="26">
        <f t="shared" si="14"/>
        <v>0</v>
      </c>
      <c r="AQ39" s="26">
        <f t="shared" si="14"/>
        <v>0</v>
      </c>
      <c r="AR39" s="26">
        <f t="shared" si="14"/>
        <v>0</v>
      </c>
      <c r="AS39" s="26">
        <f t="shared" si="14"/>
        <v>3</v>
      </c>
      <c r="AT39" s="26">
        <f t="shared" si="14"/>
        <v>0</v>
      </c>
      <c r="AU39" s="26">
        <f t="shared" si="14"/>
        <v>3</v>
      </c>
    </row>
    <row r="40" spans="1:47" x14ac:dyDescent="0.25">
      <c r="A40" t="s">
        <v>19</v>
      </c>
      <c r="B40" s="25">
        <f t="shared" si="0"/>
        <v>0</v>
      </c>
      <c r="D40" t="s">
        <v>150</v>
      </c>
      <c r="E40" s="26">
        <v>4</v>
      </c>
      <c r="F40" s="26">
        <v>5</v>
      </c>
      <c r="G40" t="s">
        <v>36</v>
      </c>
      <c r="I40" s="25">
        <f t="shared" si="1"/>
        <v>3</v>
      </c>
      <c r="Y40" s="35" t="s">
        <v>236</v>
      </c>
      <c r="Z40" s="26">
        <f t="shared" si="15"/>
        <v>3</v>
      </c>
      <c r="AA40" s="26">
        <f t="shared" si="14"/>
        <v>0</v>
      </c>
      <c r="AB40" s="26">
        <f t="shared" si="14"/>
        <v>0</v>
      </c>
      <c r="AC40" s="26">
        <f t="shared" si="14"/>
        <v>0</v>
      </c>
      <c r="AD40" s="26">
        <f t="shared" si="14"/>
        <v>3</v>
      </c>
      <c r="AE40" s="26">
        <f t="shared" si="14"/>
        <v>3</v>
      </c>
      <c r="AF40" s="26">
        <f t="shared" si="14"/>
        <v>1</v>
      </c>
      <c r="AG40" s="26">
        <f t="shared" si="14"/>
        <v>1</v>
      </c>
      <c r="AH40" s="26">
        <f t="shared" si="14"/>
        <v>1</v>
      </c>
      <c r="AI40" s="26">
        <f t="shared" si="14"/>
        <v>1</v>
      </c>
      <c r="AJ40" s="26">
        <f t="shared" si="14"/>
        <v>0</v>
      </c>
      <c r="AK40" s="26">
        <f t="shared" si="14"/>
        <v>1</v>
      </c>
      <c r="AL40" s="26">
        <f t="shared" si="14"/>
        <v>0</v>
      </c>
      <c r="AM40" s="26">
        <f t="shared" si="14"/>
        <v>3</v>
      </c>
      <c r="AN40" s="26">
        <f t="shared" si="14"/>
        <v>3</v>
      </c>
      <c r="AO40" s="26">
        <f t="shared" si="14"/>
        <v>3</v>
      </c>
      <c r="AP40" s="26">
        <f t="shared" si="14"/>
        <v>0</v>
      </c>
      <c r="AQ40" s="26">
        <f t="shared" si="14"/>
        <v>1</v>
      </c>
      <c r="AR40" s="26">
        <f t="shared" si="14"/>
        <v>0</v>
      </c>
      <c r="AS40" s="26">
        <f t="shared" si="14"/>
        <v>0</v>
      </c>
      <c r="AT40" s="26">
        <f t="shared" si="14"/>
        <v>0</v>
      </c>
      <c r="AU40" s="26">
        <f t="shared" si="14"/>
        <v>0</v>
      </c>
    </row>
    <row r="41" spans="1:47" x14ac:dyDescent="0.25">
      <c r="A41" t="s">
        <v>19</v>
      </c>
      <c r="B41" s="25">
        <f t="shared" si="0"/>
        <v>3</v>
      </c>
      <c r="D41" t="s">
        <v>65</v>
      </c>
      <c r="E41" s="26">
        <v>4</v>
      </c>
      <c r="F41" s="26">
        <v>3</v>
      </c>
      <c r="G41" t="s">
        <v>196</v>
      </c>
      <c r="I41" s="25">
        <f t="shared" si="1"/>
        <v>0</v>
      </c>
      <c r="Y41" s="36" t="s">
        <v>124</v>
      </c>
      <c r="Z41" s="26">
        <f t="shared" si="15"/>
        <v>0</v>
      </c>
      <c r="AA41" s="26">
        <f t="shared" si="14"/>
        <v>0</v>
      </c>
      <c r="AB41" s="26">
        <f t="shared" si="14"/>
        <v>1</v>
      </c>
      <c r="AC41" s="26">
        <f t="shared" si="14"/>
        <v>3</v>
      </c>
      <c r="AD41" s="26">
        <f t="shared" si="14"/>
        <v>3</v>
      </c>
      <c r="AE41" s="26">
        <f t="shared" si="14"/>
        <v>0</v>
      </c>
      <c r="AF41" s="26">
        <f t="shared" si="14"/>
        <v>3</v>
      </c>
      <c r="AG41" s="26">
        <f t="shared" si="14"/>
        <v>3</v>
      </c>
      <c r="AH41" s="26">
        <f t="shared" si="14"/>
        <v>1</v>
      </c>
      <c r="AI41" s="26">
        <f t="shared" si="14"/>
        <v>3</v>
      </c>
      <c r="AJ41" s="26">
        <f t="shared" si="14"/>
        <v>1</v>
      </c>
      <c r="AK41" s="26">
        <f t="shared" si="14"/>
        <v>0</v>
      </c>
      <c r="AL41" s="26">
        <f t="shared" si="14"/>
        <v>3</v>
      </c>
      <c r="AM41" s="26">
        <f t="shared" si="14"/>
        <v>1</v>
      </c>
      <c r="AN41" s="26">
        <f t="shared" si="14"/>
        <v>3</v>
      </c>
      <c r="AO41" s="26">
        <f t="shared" si="14"/>
        <v>1</v>
      </c>
      <c r="AP41" s="26">
        <f t="shared" si="14"/>
        <v>3</v>
      </c>
      <c r="AQ41" s="26">
        <f t="shared" si="14"/>
        <v>3</v>
      </c>
      <c r="AR41" s="26">
        <f t="shared" si="14"/>
        <v>3</v>
      </c>
      <c r="AS41" s="26">
        <f t="shared" si="14"/>
        <v>3</v>
      </c>
      <c r="AT41" s="26">
        <f t="shared" si="14"/>
        <v>3</v>
      </c>
      <c r="AU41" s="26">
        <f t="shared" si="14"/>
        <v>0</v>
      </c>
    </row>
    <row r="42" spans="1:47" ht="15.75" thickBot="1" x14ac:dyDescent="0.3">
      <c r="A42" t="s">
        <v>19</v>
      </c>
      <c r="B42" s="25">
        <f t="shared" si="0"/>
        <v>0</v>
      </c>
      <c r="D42" t="s">
        <v>80</v>
      </c>
      <c r="E42" s="26">
        <v>1</v>
      </c>
      <c r="F42" s="26">
        <v>4</v>
      </c>
      <c r="G42" t="s">
        <v>219</v>
      </c>
      <c r="I42" s="25">
        <f t="shared" si="1"/>
        <v>3</v>
      </c>
      <c r="Y42" s="37" t="s">
        <v>177</v>
      </c>
      <c r="Z42" s="26">
        <f t="shared" si="15"/>
        <v>3</v>
      </c>
      <c r="AA42" s="26">
        <f t="shared" si="14"/>
        <v>3</v>
      </c>
      <c r="AB42" s="26">
        <f t="shared" si="14"/>
        <v>3</v>
      </c>
      <c r="AC42" s="26">
        <f t="shared" si="14"/>
        <v>3</v>
      </c>
      <c r="AD42" s="26">
        <f t="shared" si="14"/>
        <v>0</v>
      </c>
      <c r="AE42" s="26">
        <f t="shared" si="14"/>
        <v>1</v>
      </c>
      <c r="AF42" s="26">
        <f t="shared" si="14"/>
        <v>0</v>
      </c>
      <c r="AG42" s="26">
        <f t="shared" si="14"/>
        <v>3</v>
      </c>
      <c r="AH42" s="26">
        <f t="shared" si="14"/>
        <v>0</v>
      </c>
      <c r="AI42" s="26">
        <f t="shared" si="14"/>
        <v>3</v>
      </c>
      <c r="AJ42" s="26">
        <f t="shared" si="14"/>
        <v>3</v>
      </c>
      <c r="AK42" s="26">
        <f t="shared" si="14"/>
        <v>3</v>
      </c>
      <c r="AL42" s="26">
        <f t="shared" si="14"/>
        <v>3</v>
      </c>
      <c r="AM42" s="26">
        <f t="shared" si="14"/>
        <v>3</v>
      </c>
      <c r="AN42" s="26">
        <f t="shared" si="14"/>
        <v>0</v>
      </c>
      <c r="AO42" s="26">
        <f t="shared" si="14"/>
        <v>0</v>
      </c>
      <c r="AP42" s="26">
        <f t="shared" si="14"/>
        <v>0</v>
      </c>
      <c r="AQ42" s="26">
        <f t="shared" si="14"/>
        <v>3</v>
      </c>
      <c r="AR42" s="26">
        <f t="shared" si="14"/>
        <v>3</v>
      </c>
      <c r="AS42" s="26">
        <f t="shared" si="14"/>
        <v>3</v>
      </c>
      <c r="AT42" s="26">
        <f t="shared" si="14"/>
        <v>0</v>
      </c>
      <c r="AU42" s="26">
        <f t="shared" si="14"/>
        <v>3</v>
      </c>
    </row>
    <row r="43" spans="1:47" ht="15.75" thickBot="1" x14ac:dyDescent="0.3">
      <c r="B43" s="25" t="str">
        <f t="shared" si="0"/>
        <v/>
      </c>
      <c r="E43" s="26"/>
      <c r="F43" s="26"/>
      <c r="I43" s="25" t="str">
        <f t="shared" si="1"/>
        <v/>
      </c>
      <c r="Y43" s="15" t="s">
        <v>104</v>
      </c>
      <c r="Z43" s="26">
        <f t="shared" si="15"/>
        <v>0</v>
      </c>
      <c r="AA43" s="26">
        <f t="shared" si="14"/>
        <v>1</v>
      </c>
      <c r="AB43" s="26">
        <f t="shared" si="14"/>
        <v>3</v>
      </c>
      <c r="AC43" s="26">
        <f t="shared" si="14"/>
        <v>3</v>
      </c>
      <c r="AD43" s="26">
        <f t="shared" si="14"/>
        <v>0</v>
      </c>
      <c r="AE43" s="26">
        <f t="shared" si="14"/>
        <v>3</v>
      </c>
      <c r="AF43" s="26">
        <f t="shared" si="14"/>
        <v>0</v>
      </c>
      <c r="AG43" s="26">
        <f t="shared" si="14"/>
        <v>0</v>
      </c>
      <c r="AH43" s="26">
        <f t="shared" si="14"/>
        <v>0</v>
      </c>
      <c r="AI43" s="26">
        <f t="shared" si="14"/>
        <v>3</v>
      </c>
      <c r="AJ43" s="26">
        <f t="shared" si="14"/>
        <v>0</v>
      </c>
      <c r="AK43" s="26">
        <f t="shared" si="14"/>
        <v>0</v>
      </c>
      <c r="AL43" s="26">
        <f t="shared" si="14"/>
        <v>0</v>
      </c>
      <c r="AM43" s="26">
        <f t="shared" si="14"/>
        <v>3</v>
      </c>
      <c r="AN43" s="26">
        <f t="shared" si="14"/>
        <v>0</v>
      </c>
      <c r="AO43" s="26">
        <f t="shared" si="14"/>
        <v>0</v>
      </c>
      <c r="AP43" s="26">
        <f t="shared" si="14"/>
        <v>0</v>
      </c>
      <c r="AQ43" s="26">
        <f t="shared" si="14"/>
        <v>0</v>
      </c>
      <c r="AR43" s="26">
        <f t="shared" si="14"/>
        <v>0</v>
      </c>
      <c r="AS43" s="26">
        <f t="shared" si="14"/>
        <v>0</v>
      </c>
      <c r="AT43" s="26">
        <f t="shared" si="14"/>
        <v>0</v>
      </c>
      <c r="AU43" s="26">
        <f t="shared" si="14"/>
        <v>0</v>
      </c>
    </row>
    <row r="44" spans="1:47" x14ac:dyDescent="0.25">
      <c r="A44" t="s">
        <v>20</v>
      </c>
      <c r="B44" s="25">
        <f t="shared" si="0"/>
        <v>0</v>
      </c>
      <c r="D44" t="s">
        <v>104</v>
      </c>
      <c r="E44" s="26">
        <v>0</v>
      </c>
      <c r="F44" s="26">
        <v>2</v>
      </c>
      <c r="G44" t="s">
        <v>65</v>
      </c>
      <c r="I44" s="25">
        <f t="shared" si="1"/>
        <v>3</v>
      </c>
    </row>
    <row r="45" spans="1:47" x14ac:dyDescent="0.25">
      <c r="A45" t="s">
        <v>20</v>
      </c>
      <c r="B45" s="25">
        <f t="shared" si="0"/>
        <v>0</v>
      </c>
      <c r="D45" t="s">
        <v>36</v>
      </c>
      <c r="E45" s="26">
        <v>2</v>
      </c>
      <c r="F45" s="26">
        <v>4</v>
      </c>
      <c r="G45" t="s">
        <v>124</v>
      </c>
      <c r="I45" s="25">
        <f t="shared" si="1"/>
        <v>3</v>
      </c>
    </row>
    <row r="46" spans="1:47" x14ac:dyDescent="0.25">
      <c r="A46" t="s">
        <v>20</v>
      </c>
      <c r="B46" s="25">
        <f t="shared" si="0"/>
        <v>1</v>
      </c>
      <c r="D46" t="s">
        <v>236</v>
      </c>
      <c r="E46" s="26">
        <v>4</v>
      </c>
      <c r="F46" s="26">
        <v>4</v>
      </c>
      <c r="G46" t="s">
        <v>150</v>
      </c>
      <c r="I46" s="25">
        <f t="shared" si="1"/>
        <v>1</v>
      </c>
    </row>
    <row r="47" spans="1:47" x14ac:dyDescent="0.25">
      <c r="A47" t="s">
        <v>20</v>
      </c>
      <c r="B47" s="25">
        <f t="shared" si="0"/>
        <v>3</v>
      </c>
      <c r="D47" t="s">
        <v>177</v>
      </c>
      <c r="E47" s="26">
        <v>9</v>
      </c>
      <c r="F47" s="26">
        <v>4</v>
      </c>
      <c r="G47" t="s">
        <v>80</v>
      </c>
      <c r="I47" s="25">
        <f t="shared" si="1"/>
        <v>0</v>
      </c>
    </row>
    <row r="48" spans="1:47" x14ac:dyDescent="0.25">
      <c r="A48" t="s">
        <v>20</v>
      </c>
      <c r="B48" s="25">
        <f t="shared" si="0"/>
        <v>0</v>
      </c>
      <c r="D48" t="s">
        <v>256</v>
      </c>
      <c r="E48" s="26">
        <v>1</v>
      </c>
      <c r="F48" s="26">
        <v>5</v>
      </c>
      <c r="G48" t="s">
        <v>219</v>
      </c>
      <c r="I48" s="25">
        <f t="shared" si="1"/>
        <v>3</v>
      </c>
    </row>
    <row r="49" spans="1:9" x14ac:dyDescent="0.25">
      <c r="B49" s="25" t="str">
        <f t="shared" si="0"/>
        <v/>
      </c>
      <c r="E49" s="26"/>
      <c r="F49" s="26"/>
      <c r="I49" s="25" t="str">
        <f t="shared" si="1"/>
        <v/>
      </c>
    </row>
    <row r="50" spans="1:9" x14ac:dyDescent="0.25">
      <c r="A50" t="s">
        <v>21</v>
      </c>
      <c r="B50" s="25">
        <f t="shared" si="0"/>
        <v>0</v>
      </c>
      <c r="D50" t="s">
        <v>80</v>
      </c>
      <c r="E50" s="26">
        <v>1</v>
      </c>
      <c r="F50" s="26">
        <v>2</v>
      </c>
      <c r="G50" t="s">
        <v>196</v>
      </c>
      <c r="I50" s="25">
        <f t="shared" si="1"/>
        <v>3</v>
      </c>
    </row>
    <row r="51" spans="1:9" x14ac:dyDescent="0.25">
      <c r="A51" t="s">
        <v>21</v>
      </c>
      <c r="B51" s="25">
        <f t="shared" si="0"/>
        <v>3</v>
      </c>
      <c r="D51" t="s">
        <v>65</v>
      </c>
      <c r="E51" s="26">
        <v>8</v>
      </c>
      <c r="F51" s="26">
        <v>5</v>
      </c>
      <c r="G51" t="s">
        <v>36</v>
      </c>
      <c r="I51" s="25">
        <f t="shared" si="1"/>
        <v>0</v>
      </c>
    </row>
    <row r="52" spans="1:9" x14ac:dyDescent="0.25">
      <c r="A52" t="s">
        <v>21</v>
      </c>
      <c r="B52" s="25">
        <f t="shared" si="0"/>
        <v>3</v>
      </c>
      <c r="D52" t="s">
        <v>219</v>
      </c>
      <c r="E52" s="26">
        <v>5</v>
      </c>
      <c r="F52" s="26">
        <v>3</v>
      </c>
      <c r="G52" t="s">
        <v>177</v>
      </c>
      <c r="I52" s="25">
        <f t="shared" si="1"/>
        <v>0</v>
      </c>
    </row>
    <row r="53" spans="1:9" x14ac:dyDescent="0.25">
      <c r="A53" t="s">
        <v>21</v>
      </c>
      <c r="B53" s="25">
        <f t="shared" si="0"/>
        <v>1</v>
      </c>
      <c r="D53" t="s">
        <v>124</v>
      </c>
      <c r="E53" s="26">
        <v>5</v>
      </c>
      <c r="F53" s="26">
        <v>5</v>
      </c>
      <c r="G53" t="s">
        <v>236</v>
      </c>
      <c r="I53" s="25">
        <f t="shared" si="1"/>
        <v>1</v>
      </c>
    </row>
    <row r="54" spans="1:9" x14ac:dyDescent="0.25">
      <c r="A54" t="s">
        <v>21</v>
      </c>
      <c r="B54" s="25">
        <f t="shared" si="0"/>
        <v>3</v>
      </c>
      <c r="D54" t="s">
        <v>150</v>
      </c>
      <c r="E54" s="26">
        <v>5</v>
      </c>
      <c r="F54" s="26">
        <v>4</v>
      </c>
      <c r="G54" t="s">
        <v>256</v>
      </c>
      <c r="I54" s="25">
        <f t="shared" si="1"/>
        <v>0</v>
      </c>
    </row>
    <row r="55" spans="1:9" x14ac:dyDescent="0.25">
      <c r="B55" s="25" t="str">
        <f t="shared" si="0"/>
        <v/>
      </c>
      <c r="E55" s="26"/>
      <c r="F55" s="26"/>
      <c r="I55" s="25" t="str">
        <f t="shared" si="1"/>
        <v/>
      </c>
    </row>
    <row r="56" spans="1:9" x14ac:dyDescent="0.25">
      <c r="A56" t="s">
        <v>22</v>
      </c>
      <c r="B56" s="25">
        <f t="shared" si="0"/>
        <v>3</v>
      </c>
      <c r="D56" t="s">
        <v>104</v>
      </c>
      <c r="E56" s="26">
        <v>6</v>
      </c>
      <c r="F56" s="26">
        <v>1</v>
      </c>
      <c r="G56" t="s">
        <v>80</v>
      </c>
      <c r="I56" s="25">
        <f t="shared" si="1"/>
        <v>0</v>
      </c>
    </row>
    <row r="57" spans="1:9" x14ac:dyDescent="0.25">
      <c r="A57" t="s">
        <v>22</v>
      </c>
      <c r="B57" s="25">
        <f t="shared" si="0"/>
        <v>1</v>
      </c>
      <c r="D57" t="s">
        <v>196</v>
      </c>
      <c r="E57" s="26">
        <v>3</v>
      </c>
      <c r="F57" s="26">
        <v>3</v>
      </c>
      <c r="G57" t="s">
        <v>219</v>
      </c>
      <c r="I57" s="25">
        <f t="shared" si="1"/>
        <v>1</v>
      </c>
    </row>
    <row r="58" spans="1:9" x14ac:dyDescent="0.25">
      <c r="A58" t="s">
        <v>22</v>
      </c>
      <c r="B58" s="25">
        <f t="shared" si="0"/>
        <v>1</v>
      </c>
      <c r="D58" t="s">
        <v>236</v>
      </c>
      <c r="E58" s="26">
        <v>3</v>
      </c>
      <c r="F58" s="26">
        <v>3</v>
      </c>
      <c r="G58" t="s">
        <v>65</v>
      </c>
      <c r="I58" s="25">
        <f t="shared" si="1"/>
        <v>1</v>
      </c>
    </row>
    <row r="59" spans="1:9" x14ac:dyDescent="0.25">
      <c r="A59" t="s">
        <v>22</v>
      </c>
      <c r="B59" s="25">
        <f t="shared" si="0"/>
        <v>0</v>
      </c>
      <c r="D59" t="s">
        <v>150</v>
      </c>
      <c r="E59" s="26">
        <v>3</v>
      </c>
      <c r="F59" s="26">
        <v>4</v>
      </c>
      <c r="G59" t="s">
        <v>124</v>
      </c>
      <c r="I59" s="25">
        <f t="shared" si="1"/>
        <v>3</v>
      </c>
    </row>
    <row r="60" spans="1:9" x14ac:dyDescent="0.25">
      <c r="A60" t="s">
        <v>22</v>
      </c>
      <c r="B60" s="25">
        <f t="shared" si="0"/>
        <v>0</v>
      </c>
      <c r="D60" t="s">
        <v>256</v>
      </c>
      <c r="E60" s="26">
        <v>2</v>
      </c>
      <c r="F60" s="26">
        <v>3</v>
      </c>
      <c r="G60" t="s">
        <v>177</v>
      </c>
      <c r="I60" s="25">
        <f t="shared" si="1"/>
        <v>3</v>
      </c>
    </row>
    <row r="61" spans="1:9" x14ac:dyDescent="0.25">
      <c r="B61" s="25" t="str">
        <f t="shared" si="0"/>
        <v/>
      </c>
      <c r="E61" s="26"/>
      <c r="F61" s="26"/>
      <c r="I61" s="25" t="str">
        <f t="shared" si="1"/>
        <v/>
      </c>
    </row>
    <row r="62" spans="1:9" x14ac:dyDescent="0.25">
      <c r="A62" t="s">
        <v>23</v>
      </c>
      <c r="B62" s="25">
        <f t="shared" si="0"/>
        <v>3</v>
      </c>
      <c r="D62" t="s">
        <v>65</v>
      </c>
      <c r="E62" s="26">
        <v>10</v>
      </c>
      <c r="F62" s="26">
        <v>2</v>
      </c>
      <c r="G62" t="s">
        <v>150</v>
      </c>
      <c r="I62" s="25">
        <f t="shared" si="1"/>
        <v>0</v>
      </c>
    </row>
    <row r="63" spans="1:9" x14ac:dyDescent="0.25">
      <c r="A63" t="s">
        <v>23</v>
      </c>
      <c r="B63" s="25">
        <f t="shared" si="0"/>
        <v>3</v>
      </c>
      <c r="D63" t="s">
        <v>219</v>
      </c>
      <c r="E63" s="26">
        <v>4</v>
      </c>
      <c r="F63" s="26">
        <v>3</v>
      </c>
      <c r="G63" t="s">
        <v>104</v>
      </c>
      <c r="I63" s="25">
        <f t="shared" si="1"/>
        <v>0</v>
      </c>
    </row>
    <row r="64" spans="1:9" x14ac:dyDescent="0.25">
      <c r="A64" t="s">
        <v>23</v>
      </c>
      <c r="B64" s="25">
        <f t="shared" si="0"/>
        <v>3</v>
      </c>
      <c r="D64" t="s">
        <v>80</v>
      </c>
      <c r="E64" s="26">
        <v>4</v>
      </c>
      <c r="F64" s="26">
        <v>0</v>
      </c>
      <c r="G64" t="s">
        <v>36</v>
      </c>
      <c r="I64" s="25">
        <f t="shared" si="1"/>
        <v>0</v>
      </c>
    </row>
    <row r="65" spans="1:9" x14ac:dyDescent="0.25">
      <c r="A65" t="s">
        <v>23</v>
      </c>
      <c r="B65" s="25">
        <f t="shared" si="0"/>
        <v>1</v>
      </c>
      <c r="D65" t="s">
        <v>256</v>
      </c>
      <c r="E65" s="26">
        <v>3</v>
      </c>
      <c r="F65" s="26">
        <v>3</v>
      </c>
      <c r="G65" t="s">
        <v>124</v>
      </c>
      <c r="I65" s="25">
        <f t="shared" si="1"/>
        <v>1</v>
      </c>
    </row>
    <row r="66" spans="1:9" x14ac:dyDescent="0.25">
      <c r="A66" t="s">
        <v>23</v>
      </c>
      <c r="B66" s="25">
        <f t="shared" si="0"/>
        <v>3</v>
      </c>
      <c r="D66" t="s">
        <v>177</v>
      </c>
      <c r="E66" s="26">
        <v>6</v>
      </c>
      <c r="F66" s="26">
        <v>3</v>
      </c>
      <c r="G66" t="s">
        <v>196</v>
      </c>
      <c r="I66" s="25">
        <f t="shared" si="1"/>
        <v>0</v>
      </c>
    </row>
    <row r="67" spans="1:9" x14ac:dyDescent="0.25">
      <c r="B67" s="25" t="str">
        <f t="shared" ref="B67:B130" si="16">IF(E67="","",IF(E67&gt;F67,3,IF(E67=F67,1,0)))</f>
        <v/>
      </c>
      <c r="E67" s="26"/>
      <c r="F67" s="26"/>
      <c r="I67" s="25" t="str">
        <f t="shared" ref="I67:I130" si="17">IF(F67="","",IF(F67&gt;E67,3,IF(F67=E67,1,0)))</f>
        <v/>
      </c>
    </row>
    <row r="68" spans="1:9" x14ac:dyDescent="0.25">
      <c r="A68" t="s">
        <v>24</v>
      </c>
      <c r="B68" s="25">
        <f t="shared" si="16"/>
        <v>3</v>
      </c>
      <c r="D68" t="s">
        <v>65</v>
      </c>
      <c r="E68" s="26">
        <v>6</v>
      </c>
      <c r="F68" s="26">
        <v>3</v>
      </c>
      <c r="G68" t="s">
        <v>256</v>
      </c>
      <c r="I68" s="25">
        <f t="shared" si="17"/>
        <v>0</v>
      </c>
    </row>
    <row r="69" spans="1:9" x14ac:dyDescent="0.25">
      <c r="A69" t="s">
        <v>24</v>
      </c>
      <c r="B69" s="25">
        <f t="shared" si="16"/>
        <v>0</v>
      </c>
      <c r="D69" t="s">
        <v>36</v>
      </c>
      <c r="E69" s="26">
        <v>2</v>
      </c>
      <c r="F69" s="26">
        <v>8</v>
      </c>
      <c r="G69" t="s">
        <v>177</v>
      </c>
      <c r="I69" s="25">
        <f t="shared" si="17"/>
        <v>3</v>
      </c>
    </row>
    <row r="70" spans="1:9" x14ac:dyDescent="0.25">
      <c r="A70" t="s">
        <v>24</v>
      </c>
      <c r="B70" s="25">
        <f t="shared" si="16"/>
        <v>1</v>
      </c>
      <c r="D70" t="s">
        <v>236</v>
      </c>
      <c r="E70" s="26">
        <v>4</v>
      </c>
      <c r="F70" s="26">
        <v>4</v>
      </c>
      <c r="G70" t="s">
        <v>219</v>
      </c>
      <c r="I70" s="25">
        <f t="shared" si="17"/>
        <v>1</v>
      </c>
    </row>
    <row r="71" spans="1:9" x14ac:dyDescent="0.25">
      <c r="A71" t="s">
        <v>24</v>
      </c>
      <c r="B71" s="25">
        <f t="shared" si="16"/>
        <v>0</v>
      </c>
      <c r="D71" t="s">
        <v>104</v>
      </c>
      <c r="E71" s="26">
        <v>5</v>
      </c>
      <c r="F71" s="26">
        <v>8</v>
      </c>
      <c r="G71" t="s">
        <v>196</v>
      </c>
      <c r="I71" s="25">
        <f t="shared" si="17"/>
        <v>3</v>
      </c>
    </row>
    <row r="72" spans="1:9" x14ac:dyDescent="0.25">
      <c r="A72" t="s">
        <v>24</v>
      </c>
      <c r="B72" s="25">
        <f t="shared" si="16"/>
        <v>3</v>
      </c>
      <c r="D72" t="s">
        <v>150</v>
      </c>
      <c r="E72" s="26">
        <v>4</v>
      </c>
      <c r="F72" s="26">
        <v>2</v>
      </c>
      <c r="G72" t="s">
        <v>80</v>
      </c>
      <c r="I72" s="25">
        <f t="shared" si="17"/>
        <v>0</v>
      </c>
    </row>
    <row r="73" spans="1:9" x14ac:dyDescent="0.25">
      <c r="B73" s="25" t="str">
        <f t="shared" si="16"/>
        <v/>
      </c>
      <c r="E73" s="26"/>
      <c r="F73" s="26"/>
      <c r="I73" s="25" t="str">
        <f t="shared" si="17"/>
        <v/>
      </c>
    </row>
    <row r="74" spans="1:9" x14ac:dyDescent="0.25">
      <c r="A74" t="s">
        <v>25</v>
      </c>
      <c r="B74" s="25">
        <f t="shared" si="16"/>
        <v>3</v>
      </c>
      <c r="D74" t="s">
        <v>196</v>
      </c>
      <c r="E74" s="26">
        <v>5</v>
      </c>
      <c r="F74" s="26">
        <v>4</v>
      </c>
      <c r="G74" t="s">
        <v>36</v>
      </c>
      <c r="I74" s="25">
        <f t="shared" si="17"/>
        <v>0</v>
      </c>
    </row>
    <row r="75" spans="1:9" x14ac:dyDescent="0.25">
      <c r="A75" t="s">
        <v>25</v>
      </c>
      <c r="B75" s="25">
        <f t="shared" si="16"/>
        <v>3</v>
      </c>
      <c r="D75" t="s">
        <v>219</v>
      </c>
      <c r="E75" s="26">
        <v>5</v>
      </c>
      <c r="F75" s="26">
        <v>4</v>
      </c>
      <c r="G75" t="s">
        <v>150</v>
      </c>
      <c r="I75" s="25">
        <f t="shared" si="17"/>
        <v>0</v>
      </c>
    </row>
    <row r="76" spans="1:9" x14ac:dyDescent="0.25">
      <c r="A76" t="s">
        <v>25</v>
      </c>
      <c r="B76" s="25">
        <f t="shared" si="16"/>
        <v>0</v>
      </c>
      <c r="D76" t="s">
        <v>80</v>
      </c>
      <c r="E76" s="26">
        <v>2</v>
      </c>
      <c r="F76" s="26">
        <v>3</v>
      </c>
      <c r="G76" t="s">
        <v>124</v>
      </c>
      <c r="I76" s="25">
        <f t="shared" si="17"/>
        <v>3</v>
      </c>
    </row>
    <row r="77" spans="1:9" x14ac:dyDescent="0.25">
      <c r="A77" t="s">
        <v>25</v>
      </c>
      <c r="B77" s="25">
        <f t="shared" si="16"/>
        <v>3</v>
      </c>
      <c r="D77" t="s">
        <v>256</v>
      </c>
      <c r="E77" s="26">
        <v>5</v>
      </c>
      <c r="F77" s="26">
        <v>2</v>
      </c>
      <c r="G77" t="s">
        <v>104</v>
      </c>
      <c r="I77" s="25">
        <f t="shared" si="17"/>
        <v>0</v>
      </c>
    </row>
    <row r="78" spans="1:9" x14ac:dyDescent="0.25">
      <c r="A78" t="s">
        <v>25</v>
      </c>
      <c r="B78" s="25">
        <f t="shared" si="16"/>
        <v>3</v>
      </c>
      <c r="D78" t="s">
        <v>177</v>
      </c>
      <c r="E78" s="26">
        <v>4</v>
      </c>
      <c r="F78" s="26">
        <v>1</v>
      </c>
      <c r="G78" t="s">
        <v>236</v>
      </c>
      <c r="I78" s="25">
        <f t="shared" si="17"/>
        <v>0</v>
      </c>
    </row>
    <row r="79" spans="1:9" x14ac:dyDescent="0.25">
      <c r="B79" s="25" t="str">
        <f t="shared" si="16"/>
        <v/>
      </c>
      <c r="E79" s="26"/>
      <c r="F79" s="26"/>
      <c r="I79" s="25" t="str">
        <f t="shared" si="17"/>
        <v/>
      </c>
    </row>
    <row r="80" spans="1:9" x14ac:dyDescent="0.25">
      <c r="A80" t="s">
        <v>26</v>
      </c>
      <c r="B80" s="25">
        <f t="shared" si="16"/>
        <v>3</v>
      </c>
      <c r="D80" t="s">
        <v>65</v>
      </c>
      <c r="E80" s="26">
        <v>8</v>
      </c>
      <c r="F80" s="26">
        <v>0</v>
      </c>
      <c r="G80" t="s">
        <v>80</v>
      </c>
      <c r="I80" s="25">
        <f t="shared" si="17"/>
        <v>0</v>
      </c>
    </row>
    <row r="81" spans="1:9" x14ac:dyDescent="0.25">
      <c r="A81" t="s">
        <v>26</v>
      </c>
      <c r="B81" s="25">
        <f t="shared" si="16"/>
        <v>0</v>
      </c>
      <c r="D81" t="s">
        <v>36</v>
      </c>
      <c r="E81" s="26">
        <v>1</v>
      </c>
      <c r="F81" s="26">
        <v>3</v>
      </c>
      <c r="G81" t="s">
        <v>104</v>
      </c>
      <c r="I81" s="25">
        <f t="shared" si="17"/>
        <v>3</v>
      </c>
    </row>
    <row r="82" spans="1:9" x14ac:dyDescent="0.25">
      <c r="A82" t="s">
        <v>26</v>
      </c>
      <c r="B82" s="25">
        <f t="shared" si="16"/>
        <v>3</v>
      </c>
      <c r="D82" t="s">
        <v>236</v>
      </c>
      <c r="E82" s="26">
        <v>4</v>
      </c>
      <c r="F82" s="26">
        <v>2</v>
      </c>
      <c r="G82" t="s">
        <v>196</v>
      </c>
      <c r="I82" s="25">
        <f t="shared" si="17"/>
        <v>0</v>
      </c>
    </row>
    <row r="83" spans="1:9" x14ac:dyDescent="0.25">
      <c r="A83" t="s">
        <v>26</v>
      </c>
      <c r="B83" s="25">
        <f t="shared" si="16"/>
        <v>1</v>
      </c>
      <c r="D83" t="s">
        <v>124</v>
      </c>
      <c r="E83" s="26">
        <v>3</v>
      </c>
      <c r="F83" s="26">
        <v>3</v>
      </c>
      <c r="G83" t="s">
        <v>219</v>
      </c>
      <c r="I83" s="25">
        <f t="shared" si="17"/>
        <v>1</v>
      </c>
    </row>
    <row r="84" spans="1:9" x14ac:dyDescent="0.25">
      <c r="A84" t="s">
        <v>26</v>
      </c>
      <c r="B84" s="25">
        <f t="shared" si="16"/>
        <v>0</v>
      </c>
      <c r="D84" t="s">
        <v>150</v>
      </c>
      <c r="E84" s="26">
        <v>3</v>
      </c>
      <c r="F84" s="26">
        <v>4</v>
      </c>
      <c r="G84" t="s">
        <v>177</v>
      </c>
      <c r="I84" s="25">
        <f t="shared" si="17"/>
        <v>3</v>
      </c>
    </row>
    <row r="85" spans="1:9" x14ac:dyDescent="0.25">
      <c r="B85" s="25" t="str">
        <f t="shared" si="16"/>
        <v/>
      </c>
      <c r="E85" s="26"/>
      <c r="F85" s="26"/>
      <c r="I85" s="25" t="str">
        <f t="shared" si="17"/>
        <v/>
      </c>
    </row>
    <row r="86" spans="1:9" x14ac:dyDescent="0.25">
      <c r="A86" t="s">
        <v>27</v>
      </c>
      <c r="B86" s="25">
        <f t="shared" si="16"/>
        <v>0</v>
      </c>
      <c r="D86" t="s">
        <v>104</v>
      </c>
      <c r="E86" s="26">
        <v>2</v>
      </c>
      <c r="F86" s="26">
        <v>3</v>
      </c>
      <c r="G86" t="s">
        <v>236</v>
      </c>
      <c r="I86" s="25">
        <f t="shared" si="17"/>
        <v>3</v>
      </c>
    </row>
    <row r="87" spans="1:9" x14ac:dyDescent="0.25">
      <c r="A87" t="s">
        <v>27</v>
      </c>
      <c r="B87" s="25">
        <f t="shared" si="16"/>
        <v>3</v>
      </c>
      <c r="D87" t="s">
        <v>196</v>
      </c>
      <c r="E87" s="26">
        <v>5</v>
      </c>
      <c r="F87" s="26">
        <v>3</v>
      </c>
      <c r="G87" t="s">
        <v>150</v>
      </c>
      <c r="I87" s="25">
        <f t="shared" si="17"/>
        <v>0</v>
      </c>
    </row>
    <row r="88" spans="1:9" x14ac:dyDescent="0.25">
      <c r="A88" t="s">
        <v>27</v>
      </c>
      <c r="B88" s="25">
        <f t="shared" si="16"/>
        <v>3</v>
      </c>
      <c r="D88" t="s">
        <v>219</v>
      </c>
      <c r="E88" s="26">
        <v>4</v>
      </c>
      <c r="F88" s="26">
        <v>2</v>
      </c>
      <c r="G88" t="s">
        <v>65</v>
      </c>
      <c r="I88" s="25">
        <f t="shared" si="17"/>
        <v>0</v>
      </c>
    </row>
    <row r="89" spans="1:9" x14ac:dyDescent="0.25">
      <c r="A89" t="s">
        <v>27</v>
      </c>
      <c r="B89" s="25">
        <f t="shared" si="16"/>
        <v>1</v>
      </c>
      <c r="D89" t="s">
        <v>256</v>
      </c>
      <c r="E89" s="26">
        <v>4</v>
      </c>
      <c r="F89" s="26">
        <v>4</v>
      </c>
      <c r="G89" t="s">
        <v>36</v>
      </c>
      <c r="I89" s="25">
        <f t="shared" si="17"/>
        <v>1</v>
      </c>
    </row>
    <row r="90" spans="1:9" x14ac:dyDescent="0.25">
      <c r="A90" t="s">
        <v>27</v>
      </c>
      <c r="B90" s="25">
        <f t="shared" si="16"/>
        <v>0</v>
      </c>
      <c r="D90" t="s">
        <v>177</v>
      </c>
      <c r="E90" s="26">
        <v>3</v>
      </c>
      <c r="F90" s="26">
        <v>5</v>
      </c>
      <c r="G90" t="s">
        <v>124</v>
      </c>
      <c r="I90" s="25">
        <f t="shared" si="17"/>
        <v>3</v>
      </c>
    </row>
    <row r="91" spans="1:9" x14ac:dyDescent="0.25">
      <c r="B91" s="25" t="str">
        <f t="shared" si="16"/>
        <v/>
      </c>
      <c r="E91" s="26"/>
      <c r="F91" s="26"/>
      <c r="I91" s="25" t="str">
        <f t="shared" si="17"/>
        <v/>
      </c>
    </row>
    <row r="92" spans="1:9" x14ac:dyDescent="0.25">
      <c r="A92" t="s">
        <v>28</v>
      </c>
      <c r="B92" s="25">
        <f t="shared" si="16"/>
        <v>3</v>
      </c>
      <c r="D92" t="s">
        <v>65</v>
      </c>
      <c r="E92" s="26">
        <v>7</v>
      </c>
      <c r="F92" s="26">
        <v>1</v>
      </c>
      <c r="G92" t="s">
        <v>177</v>
      </c>
      <c r="I92" s="25">
        <f t="shared" si="17"/>
        <v>0</v>
      </c>
    </row>
    <row r="93" spans="1:9" x14ac:dyDescent="0.25">
      <c r="A93" t="s">
        <v>28</v>
      </c>
      <c r="B93" s="25">
        <f t="shared" si="16"/>
        <v>3</v>
      </c>
      <c r="D93" t="s">
        <v>236</v>
      </c>
      <c r="E93" s="26">
        <v>6</v>
      </c>
      <c r="F93" s="26">
        <v>5</v>
      </c>
      <c r="G93" t="s">
        <v>36</v>
      </c>
      <c r="I93" s="25">
        <f t="shared" si="17"/>
        <v>0</v>
      </c>
    </row>
    <row r="94" spans="1:9" x14ac:dyDescent="0.25">
      <c r="A94" t="s">
        <v>28</v>
      </c>
      <c r="B94" s="25">
        <f t="shared" si="16"/>
        <v>0</v>
      </c>
      <c r="D94" t="s">
        <v>80</v>
      </c>
      <c r="E94" s="26">
        <v>1</v>
      </c>
      <c r="F94" s="26">
        <v>2</v>
      </c>
      <c r="G94" t="s">
        <v>256</v>
      </c>
      <c r="I94" s="25">
        <f t="shared" si="17"/>
        <v>3</v>
      </c>
    </row>
    <row r="95" spans="1:9" x14ac:dyDescent="0.25">
      <c r="A95" t="s">
        <v>28</v>
      </c>
      <c r="B95" s="25">
        <f t="shared" si="16"/>
        <v>1</v>
      </c>
      <c r="D95" t="s">
        <v>124</v>
      </c>
      <c r="E95" s="26">
        <v>2</v>
      </c>
      <c r="F95" s="26">
        <v>2</v>
      </c>
      <c r="G95" t="s">
        <v>196</v>
      </c>
      <c r="I95" s="25">
        <f t="shared" si="17"/>
        <v>1</v>
      </c>
    </row>
    <row r="96" spans="1:9" x14ac:dyDescent="0.25">
      <c r="A96" t="s">
        <v>28</v>
      </c>
      <c r="B96" s="25">
        <f t="shared" si="16"/>
        <v>3</v>
      </c>
      <c r="D96" t="s">
        <v>150</v>
      </c>
      <c r="E96" s="26">
        <v>5</v>
      </c>
      <c r="F96" s="26">
        <v>2</v>
      </c>
      <c r="G96" t="s">
        <v>104</v>
      </c>
      <c r="I96" s="25">
        <f t="shared" si="17"/>
        <v>0</v>
      </c>
    </row>
    <row r="97" spans="1:9" x14ac:dyDescent="0.25">
      <c r="B97" s="25" t="str">
        <f t="shared" si="16"/>
        <v/>
      </c>
      <c r="E97" s="26"/>
      <c r="F97" s="26"/>
      <c r="I97" s="25" t="str">
        <f t="shared" si="17"/>
        <v/>
      </c>
    </row>
    <row r="98" spans="1:9" x14ac:dyDescent="0.25">
      <c r="A98" t="s">
        <v>29</v>
      </c>
      <c r="B98" s="25">
        <f t="shared" si="16"/>
        <v>0</v>
      </c>
      <c r="D98" t="s">
        <v>104</v>
      </c>
      <c r="E98" s="26">
        <v>1</v>
      </c>
      <c r="F98" s="26">
        <v>4</v>
      </c>
      <c r="G98" t="s">
        <v>124</v>
      </c>
      <c r="I98" s="25">
        <f t="shared" si="17"/>
        <v>3</v>
      </c>
    </row>
    <row r="99" spans="1:9" x14ac:dyDescent="0.25">
      <c r="A99" t="s">
        <v>29</v>
      </c>
      <c r="B99" s="25">
        <f t="shared" si="16"/>
        <v>0</v>
      </c>
      <c r="D99" t="s">
        <v>196</v>
      </c>
      <c r="E99" s="26">
        <v>4</v>
      </c>
      <c r="F99" s="26">
        <v>7</v>
      </c>
      <c r="G99" t="s">
        <v>65</v>
      </c>
      <c r="I99" s="25">
        <f t="shared" si="17"/>
        <v>3</v>
      </c>
    </row>
    <row r="100" spans="1:9" x14ac:dyDescent="0.25">
      <c r="A100" t="s">
        <v>29</v>
      </c>
      <c r="B100" s="25">
        <f t="shared" si="16"/>
        <v>3</v>
      </c>
      <c r="D100" t="s">
        <v>36</v>
      </c>
      <c r="E100" s="26">
        <v>4</v>
      </c>
      <c r="F100" s="26">
        <v>0</v>
      </c>
      <c r="G100" t="s">
        <v>150</v>
      </c>
      <c r="I100" s="25">
        <f t="shared" si="17"/>
        <v>0</v>
      </c>
    </row>
    <row r="101" spans="1:9" x14ac:dyDescent="0.25">
      <c r="A101" t="s">
        <v>29</v>
      </c>
      <c r="B101" s="25">
        <f t="shared" si="16"/>
        <v>3</v>
      </c>
      <c r="D101" t="s">
        <v>219</v>
      </c>
      <c r="E101" s="26">
        <v>4</v>
      </c>
      <c r="F101" s="26">
        <v>2</v>
      </c>
      <c r="G101" t="s">
        <v>80</v>
      </c>
      <c r="I101" s="25">
        <f t="shared" si="17"/>
        <v>0</v>
      </c>
    </row>
    <row r="102" spans="1:9" x14ac:dyDescent="0.25">
      <c r="A102" t="s">
        <v>29</v>
      </c>
      <c r="B102" s="25">
        <f t="shared" si="16"/>
        <v>3</v>
      </c>
      <c r="D102" t="s">
        <v>256</v>
      </c>
      <c r="E102" s="26">
        <v>4</v>
      </c>
      <c r="F102" s="26">
        <v>1</v>
      </c>
      <c r="G102" t="s">
        <v>236</v>
      </c>
      <c r="I102" s="25">
        <f t="shared" si="17"/>
        <v>0</v>
      </c>
    </row>
    <row r="103" spans="1:9" x14ac:dyDescent="0.25">
      <c r="B103" s="25" t="str">
        <f t="shared" si="16"/>
        <v/>
      </c>
      <c r="E103" s="26"/>
      <c r="F103" s="26"/>
      <c r="I103" s="25" t="str">
        <f t="shared" si="17"/>
        <v/>
      </c>
    </row>
    <row r="104" spans="1:9" x14ac:dyDescent="0.25">
      <c r="A104" t="s">
        <v>30</v>
      </c>
      <c r="B104" s="25">
        <f t="shared" si="16"/>
        <v>3</v>
      </c>
      <c r="D104" t="s">
        <v>65</v>
      </c>
      <c r="E104" s="26">
        <v>8</v>
      </c>
      <c r="F104" s="26">
        <v>2</v>
      </c>
      <c r="G104" t="s">
        <v>104</v>
      </c>
      <c r="I104" s="25">
        <f t="shared" si="17"/>
        <v>0</v>
      </c>
    </row>
    <row r="105" spans="1:9" x14ac:dyDescent="0.25">
      <c r="A105" t="s">
        <v>30</v>
      </c>
      <c r="B105" s="25">
        <f t="shared" si="16"/>
        <v>3</v>
      </c>
      <c r="D105" t="s">
        <v>219</v>
      </c>
      <c r="E105" s="26">
        <v>4</v>
      </c>
      <c r="F105" s="26">
        <v>3</v>
      </c>
      <c r="G105" t="s">
        <v>256</v>
      </c>
      <c r="I105" s="25">
        <f t="shared" si="17"/>
        <v>0</v>
      </c>
    </row>
    <row r="106" spans="1:9" x14ac:dyDescent="0.25">
      <c r="A106" t="s">
        <v>30</v>
      </c>
      <c r="B106" s="25">
        <f t="shared" si="16"/>
        <v>0</v>
      </c>
      <c r="D106" t="s">
        <v>80</v>
      </c>
      <c r="E106" s="26">
        <v>2</v>
      </c>
      <c r="F106" s="26">
        <v>4</v>
      </c>
      <c r="G106" t="s">
        <v>177</v>
      </c>
      <c r="I106" s="25">
        <f t="shared" si="17"/>
        <v>3</v>
      </c>
    </row>
    <row r="107" spans="1:9" x14ac:dyDescent="0.25">
      <c r="A107" t="s">
        <v>30</v>
      </c>
      <c r="B107" s="25">
        <f t="shared" si="16"/>
        <v>3</v>
      </c>
      <c r="D107" t="s">
        <v>124</v>
      </c>
      <c r="E107" s="26">
        <v>5</v>
      </c>
      <c r="F107" s="26">
        <v>2</v>
      </c>
      <c r="G107" t="s">
        <v>36</v>
      </c>
      <c r="I107" s="25">
        <f t="shared" si="17"/>
        <v>0</v>
      </c>
    </row>
    <row r="108" spans="1:9" x14ac:dyDescent="0.25">
      <c r="A108" t="s">
        <v>30</v>
      </c>
      <c r="B108" s="25">
        <f t="shared" si="16"/>
        <v>1</v>
      </c>
      <c r="D108" t="s">
        <v>150</v>
      </c>
      <c r="E108" s="26">
        <v>4</v>
      </c>
      <c r="F108" s="26">
        <v>4</v>
      </c>
      <c r="G108" t="s">
        <v>236</v>
      </c>
      <c r="I108" s="25">
        <f t="shared" si="17"/>
        <v>1</v>
      </c>
    </row>
    <row r="109" spans="1:9" x14ac:dyDescent="0.25">
      <c r="B109" s="25" t="str">
        <f t="shared" si="16"/>
        <v/>
      </c>
      <c r="E109" s="26"/>
      <c r="F109" s="26"/>
      <c r="I109" s="25" t="str">
        <f t="shared" si="17"/>
        <v/>
      </c>
    </row>
    <row r="110" spans="1:9" x14ac:dyDescent="0.25">
      <c r="A110" t="s">
        <v>31</v>
      </c>
      <c r="B110" s="25">
        <f t="shared" si="16"/>
        <v>3</v>
      </c>
      <c r="D110" t="s">
        <v>196</v>
      </c>
      <c r="E110" s="26">
        <v>6</v>
      </c>
      <c r="F110" s="26">
        <v>1</v>
      </c>
      <c r="G110" t="s">
        <v>80</v>
      </c>
      <c r="I110" s="25">
        <f t="shared" si="17"/>
        <v>0</v>
      </c>
    </row>
    <row r="111" spans="1:9" x14ac:dyDescent="0.25">
      <c r="A111" t="s">
        <v>31</v>
      </c>
      <c r="B111" s="25">
        <f t="shared" si="16"/>
        <v>1</v>
      </c>
      <c r="D111" t="s">
        <v>36</v>
      </c>
      <c r="E111" s="26">
        <v>5</v>
      </c>
      <c r="F111" s="26">
        <v>5</v>
      </c>
      <c r="G111" t="s">
        <v>65</v>
      </c>
      <c r="I111" s="25">
        <f t="shared" si="17"/>
        <v>1</v>
      </c>
    </row>
    <row r="112" spans="1:9" x14ac:dyDescent="0.25">
      <c r="A112" t="s">
        <v>31</v>
      </c>
      <c r="B112" s="25">
        <f t="shared" si="16"/>
        <v>0</v>
      </c>
      <c r="D112" t="s">
        <v>236</v>
      </c>
      <c r="E112" s="26">
        <v>1</v>
      </c>
      <c r="F112" s="26">
        <v>2</v>
      </c>
      <c r="G112" t="s">
        <v>124</v>
      </c>
      <c r="I112" s="25">
        <f t="shared" si="17"/>
        <v>3</v>
      </c>
    </row>
    <row r="113" spans="1:9" x14ac:dyDescent="0.25">
      <c r="A113" t="s">
        <v>31</v>
      </c>
      <c r="B113" s="25">
        <f t="shared" si="16"/>
        <v>1</v>
      </c>
      <c r="D113" t="s">
        <v>256</v>
      </c>
      <c r="E113" s="26">
        <v>4</v>
      </c>
      <c r="F113" s="26">
        <v>4</v>
      </c>
      <c r="G113" t="s">
        <v>150</v>
      </c>
      <c r="I113" s="25">
        <f t="shared" si="17"/>
        <v>1</v>
      </c>
    </row>
    <row r="114" spans="1:9" x14ac:dyDescent="0.25">
      <c r="A114" t="s">
        <v>31</v>
      </c>
      <c r="B114" s="25">
        <f t="shared" si="16"/>
        <v>3</v>
      </c>
      <c r="D114" t="s">
        <v>177</v>
      </c>
      <c r="E114" s="26">
        <v>6</v>
      </c>
      <c r="F114" s="26">
        <v>4</v>
      </c>
      <c r="G114" t="s">
        <v>219</v>
      </c>
      <c r="I114" s="25">
        <f t="shared" si="17"/>
        <v>0</v>
      </c>
    </row>
    <row r="115" spans="1:9" x14ac:dyDescent="0.25">
      <c r="B115" s="25" t="str">
        <f t="shared" si="16"/>
        <v/>
      </c>
      <c r="E115" s="26"/>
      <c r="F115" s="26"/>
      <c r="I115" s="25" t="str">
        <f t="shared" si="17"/>
        <v/>
      </c>
    </row>
    <row r="116" spans="1:9" x14ac:dyDescent="0.25">
      <c r="A116" t="s">
        <v>32</v>
      </c>
      <c r="B116" s="25">
        <f t="shared" si="16"/>
        <v>3</v>
      </c>
      <c r="D116" t="s">
        <v>65</v>
      </c>
      <c r="E116" s="26">
        <v>9</v>
      </c>
      <c r="F116" s="26">
        <v>3</v>
      </c>
      <c r="G116" t="s">
        <v>236</v>
      </c>
      <c r="I116" s="25">
        <f t="shared" si="17"/>
        <v>0</v>
      </c>
    </row>
    <row r="117" spans="1:9" x14ac:dyDescent="0.25">
      <c r="A117" t="s">
        <v>32</v>
      </c>
      <c r="B117" s="25">
        <f t="shared" si="16"/>
        <v>3</v>
      </c>
      <c r="D117" t="s">
        <v>219</v>
      </c>
      <c r="E117" s="26">
        <v>3</v>
      </c>
      <c r="F117" s="26">
        <v>2</v>
      </c>
      <c r="G117" t="s">
        <v>196</v>
      </c>
      <c r="I117" s="25">
        <f t="shared" si="17"/>
        <v>0</v>
      </c>
    </row>
    <row r="118" spans="1:9" x14ac:dyDescent="0.25">
      <c r="A118" t="s">
        <v>32</v>
      </c>
      <c r="B118" s="25">
        <f t="shared" si="16"/>
        <v>3</v>
      </c>
      <c r="D118" t="s">
        <v>80</v>
      </c>
      <c r="E118" s="26">
        <v>2</v>
      </c>
      <c r="F118" s="26">
        <v>0</v>
      </c>
      <c r="G118" t="s">
        <v>104</v>
      </c>
      <c r="I118" s="25">
        <f t="shared" si="17"/>
        <v>0</v>
      </c>
    </row>
    <row r="119" spans="1:9" x14ac:dyDescent="0.25">
      <c r="A119" t="s">
        <v>32</v>
      </c>
      <c r="B119" s="25">
        <f t="shared" si="16"/>
        <v>3</v>
      </c>
      <c r="D119" t="s">
        <v>124</v>
      </c>
      <c r="E119" s="26">
        <v>6</v>
      </c>
      <c r="F119" s="26">
        <v>4</v>
      </c>
      <c r="G119" t="s">
        <v>150</v>
      </c>
      <c r="I119" s="25">
        <f t="shared" si="17"/>
        <v>0</v>
      </c>
    </row>
    <row r="120" spans="1:9" x14ac:dyDescent="0.25">
      <c r="A120" t="s">
        <v>32</v>
      </c>
      <c r="B120" s="25">
        <f t="shared" si="16"/>
        <v>3</v>
      </c>
      <c r="D120" t="s">
        <v>177</v>
      </c>
      <c r="E120" s="26">
        <v>6</v>
      </c>
      <c r="F120" s="26">
        <v>2</v>
      </c>
      <c r="G120" t="s">
        <v>256</v>
      </c>
      <c r="I120" s="25">
        <f t="shared" si="17"/>
        <v>0</v>
      </c>
    </row>
    <row r="121" spans="1:9" x14ac:dyDescent="0.25">
      <c r="B121" s="25" t="str">
        <f t="shared" si="16"/>
        <v/>
      </c>
      <c r="E121" s="26"/>
      <c r="F121" s="26"/>
      <c r="I121" s="25" t="str">
        <f t="shared" si="17"/>
        <v/>
      </c>
    </row>
    <row r="122" spans="1:9" x14ac:dyDescent="0.25">
      <c r="A122" t="s">
        <v>33</v>
      </c>
      <c r="B122" s="25">
        <f t="shared" si="16"/>
        <v>3</v>
      </c>
      <c r="D122" t="s">
        <v>36</v>
      </c>
      <c r="E122" s="26">
        <v>5</v>
      </c>
      <c r="F122" s="26">
        <v>3</v>
      </c>
      <c r="G122" t="s">
        <v>80</v>
      </c>
      <c r="I122" s="25">
        <f t="shared" si="17"/>
        <v>0</v>
      </c>
    </row>
    <row r="123" spans="1:9" x14ac:dyDescent="0.25">
      <c r="A123" t="s">
        <v>33</v>
      </c>
      <c r="B123" s="25">
        <f t="shared" si="16"/>
        <v>0</v>
      </c>
      <c r="D123" t="s">
        <v>104</v>
      </c>
      <c r="E123" s="26">
        <v>1</v>
      </c>
      <c r="F123" s="26">
        <v>3</v>
      </c>
      <c r="G123" t="s">
        <v>219</v>
      </c>
      <c r="I123" s="25">
        <f t="shared" si="17"/>
        <v>3</v>
      </c>
    </row>
    <row r="124" spans="1:9" x14ac:dyDescent="0.25">
      <c r="A124" t="s">
        <v>33</v>
      </c>
      <c r="B124" s="25">
        <f t="shared" si="16"/>
        <v>0</v>
      </c>
      <c r="D124" t="s">
        <v>150</v>
      </c>
      <c r="E124" s="26">
        <v>3</v>
      </c>
      <c r="F124" s="26">
        <v>6</v>
      </c>
      <c r="G124" t="s">
        <v>65</v>
      </c>
      <c r="I124" s="25">
        <f t="shared" si="17"/>
        <v>3</v>
      </c>
    </row>
    <row r="125" spans="1:9" x14ac:dyDescent="0.25">
      <c r="A125" t="s">
        <v>33</v>
      </c>
      <c r="B125" s="25">
        <f t="shared" si="16"/>
        <v>3</v>
      </c>
      <c r="D125" t="s">
        <v>124</v>
      </c>
      <c r="E125" s="26">
        <v>3</v>
      </c>
      <c r="F125" s="26">
        <v>2</v>
      </c>
      <c r="G125" t="s">
        <v>256</v>
      </c>
      <c r="I125" s="25">
        <f t="shared" si="17"/>
        <v>0</v>
      </c>
    </row>
    <row r="126" spans="1:9" x14ac:dyDescent="0.25">
      <c r="A126" t="s">
        <v>33</v>
      </c>
      <c r="B126" s="25">
        <f t="shared" si="16"/>
        <v>3</v>
      </c>
      <c r="D126" t="s">
        <v>196</v>
      </c>
      <c r="E126" s="26">
        <v>3</v>
      </c>
      <c r="F126" s="26">
        <v>2</v>
      </c>
      <c r="G126" t="s">
        <v>177</v>
      </c>
      <c r="I126" s="25">
        <f t="shared" si="17"/>
        <v>0</v>
      </c>
    </row>
    <row r="127" spans="1:9" x14ac:dyDescent="0.25">
      <c r="B127" s="25" t="str">
        <f t="shared" si="16"/>
        <v/>
      </c>
      <c r="E127" s="26"/>
      <c r="F127" s="26"/>
      <c r="I127" s="25" t="str">
        <f t="shared" si="17"/>
        <v/>
      </c>
    </row>
    <row r="128" spans="1:9" x14ac:dyDescent="0.25">
      <c r="A128" t="s">
        <v>34</v>
      </c>
      <c r="B128" s="25">
        <f t="shared" si="16"/>
        <v>3</v>
      </c>
      <c r="D128" t="s">
        <v>65</v>
      </c>
      <c r="E128" s="26">
        <v>6</v>
      </c>
      <c r="F128" s="26">
        <v>2</v>
      </c>
      <c r="G128" t="s">
        <v>124</v>
      </c>
      <c r="I128" s="25">
        <f t="shared" si="17"/>
        <v>0</v>
      </c>
    </row>
    <row r="129" spans="1:9" x14ac:dyDescent="0.25">
      <c r="A129" t="s">
        <v>34</v>
      </c>
      <c r="B129" s="25">
        <f t="shared" si="16"/>
        <v>3</v>
      </c>
      <c r="D129" t="s">
        <v>80</v>
      </c>
      <c r="E129" s="26">
        <v>5</v>
      </c>
      <c r="F129" s="26">
        <v>4</v>
      </c>
      <c r="G129" t="s">
        <v>236</v>
      </c>
      <c r="I129" s="25">
        <f t="shared" si="17"/>
        <v>0</v>
      </c>
    </row>
    <row r="130" spans="1:9" x14ac:dyDescent="0.25">
      <c r="A130" t="s">
        <v>34</v>
      </c>
      <c r="B130" s="25">
        <f t="shared" si="16"/>
        <v>3</v>
      </c>
      <c r="D130" t="s">
        <v>177</v>
      </c>
      <c r="E130" s="26">
        <v>4</v>
      </c>
      <c r="F130" s="26">
        <v>2</v>
      </c>
      <c r="G130" t="s">
        <v>104</v>
      </c>
      <c r="I130" s="25">
        <f t="shared" si="17"/>
        <v>0</v>
      </c>
    </row>
    <row r="131" spans="1:9" x14ac:dyDescent="0.25">
      <c r="A131" t="s">
        <v>34</v>
      </c>
      <c r="B131" s="25">
        <f t="shared" ref="B131:B132" si="18">IF(E131="","",IF(E131&gt;F131,3,IF(E131=F131,1,0)))</f>
        <v>3</v>
      </c>
      <c r="D131" t="s">
        <v>219</v>
      </c>
      <c r="E131" s="26">
        <v>5</v>
      </c>
      <c r="F131" s="26">
        <v>2</v>
      </c>
      <c r="G131" t="s">
        <v>36</v>
      </c>
      <c r="I131" s="25">
        <f t="shared" ref="I131:I132" si="19">IF(F131="","",IF(F131&gt;E131,3,IF(F131=E131,1,0)))</f>
        <v>0</v>
      </c>
    </row>
    <row r="132" spans="1:9" x14ac:dyDescent="0.25">
      <c r="A132" t="s">
        <v>34</v>
      </c>
      <c r="B132" s="25">
        <f t="shared" si="18"/>
        <v>3</v>
      </c>
      <c r="D132" t="s">
        <v>256</v>
      </c>
      <c r="E132" s="26">
        <v>5</v>
      </c>
      <c r="F132" s="26">
        <v>4</v>
      </c>
      <c r="G132" t="s">
        <v>196</v>
      </c>
      <c r="I132" s="25">
        <f t="shared" si="19"/>
        <v>0</v>
      </c>
    </row>
  </sheetData>
  <autoFilter ref="G1:G132" xr:uid="{FDEC64AA-6C61-4A3F-B689-F60CA84C51B4}"/>
  <phoneticPr fontId="2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D3C87-F9A1-4F7D-9FF9-368C25483ED1}">
  <sheetPr codeName="Feuil4"/>
  <dimension ref="A1"/>
  <sheetViews>
    <sheetView workbookViewId="0">
      <selection activeCell="I13" sqref="I13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0AC51D-8AAA-4BA3-BCE2-9DEABAF21D0B}">
  <sheetPr codeName="Feuil1"/>
  <dimension ref="A1:S496"/>
  <sheetViews>
    <sheetView showGridLines="0" tabSelected="1" topLeftCell="A3" zoomScale="85" zoomScaleNormal="85" workbookViewId="0">
      <selection activeCell="K32" sqref="K32"/>
    </sheetView>
  </sheetViews>
  <sheetFormatPr baseColWidth="10" defaultRowHeight="15" x14ac:dyDescent="0.25"/>
  <cols>
    <col min="1" max="1" width="10.42578125" bestFit="1" customWidth="1"/>
    <col min="2" max="2" width="20.28515625" customWidth="1"/>
    <col min="3" max="3" width="18.42578125" bestFit="1" customWidth="1"/>
    <col min="4" max="4" width="0" hidden="1" customWidth="1"/>
    <col min="6" max="6" width="8.140625" style="60" bestFit="1" customWidth="1"/>
    <col min="7" max="7" width="7.85546875" style="61" customWidth="1"/>
    <col min="8" max="8" width="13.28515625" style="60" bestFit="1" customWidth="1"/>
    <col min="9" max="9" width="15.42578125" bestFit="1" customWidth="1"/>
    <col min="12" max="12" width="12.5703125" customWidth="1"/>
    <col min="14" max="14" width="4" customWidth="1"/>
    <col min="19" max="19" width="4" customWidth="1"/>
  </cols>
  <sheetData>
    <row r="1" spans="1:19" x14ac:dyDescent="0.25">
      <c r="A1" s="39"/>
      <c r="B1" s="39"/>
      <c r="F1" s="71" t="s">
        <v>0</v>
      </c>
      <c r="G1" s="72" t="s">
        <v>1</v>
      </c>
      <c r="H1" s="71" t="s">
        <v>2</v>
      </c>
      <c r="I1" s="2" t="s">
        <v>3</v>
      </c>
      <c r="L1" t="s">
        <v>353</v>
      </c>
      <c r="M1" s="66" t="s">
        <v>359</v>
      </c>
    </row>
    <row r="2" spans="1:19" ht="15.75" thickBot="1" x14ac:dyDescent="0.3">
      <c r="A2" s="40" t="s">
        <v>292</v>
      </c>
      <c r="B2" s="40" t="s">
        <v>293</v>
      </c>
      <c r="C2" s="40" t="s">
        <v>294</v>
      </c>
      <c r="D2" s="1"/>
      <c r="E2" s="3"/>
      <c r="F2" s="71"/>
      <c r="G2" s="72"/>
      <c r="H2" s="71"/>
      <c r="I2" s="59">
        <f>SUM(H:H)</f>
        <v>0</v>
      </c>
      <c r="O2" s="76"/>
      <c r="P2" s="76"/>
      <c r="Q2" s="76"/>
      <c r="R2" s="76"/>
    </row>
    <row r="3" spans="1:19" ht="15.75" customHeight="1" thickBot="1" x14ac:dyDescent="0.3">
      <c r="B3" s="73" t="s">
        <v>360</v>
      </c>
      <c r="C3" s="73" t="s">
        <v>361</v>
      </c>
      <c r="D3" s="1"/>
      <c r="E3" s="3"/>
      <c r="O3" s="76"/>
      <c r="P3" s="76"/>
      <c r="Q3" s="76"/>
      <c r="R3" s="76"/>
    </row>
    <row r="4" spans="1:19" x14ac:dyDescent="0.25">
      <c r="C4" s="1"/>
      <c r="D4" s="1"/>
      <c r="E4" s="3"/>
    </row>
    <row r="5" spans="1:19" x14ac:dyDescent="0.25">
      <c r="A5" s="65" t="s">
        <v>295</v>
      </c>
      <c r="B5" s="62"/>
      <c r="C5" s="67"/>
      <c r="D5" s="1"/>
      <c r="E5" s="3"/>
      <c r="O5" s="76" t="str">
        <f>B3</f>
        <v>Equipe1</v>
      </c>
      <c r="P5" s="76"/>
      <c r="Q5" s="76" t="str">
        <f>C3</f>
        <v>Equipe2</v>
      </c>
      <c r="R5" s="76"/>
    </row>
    <row r="6" spans="1:19" ht="15.75" thickBot="1" x14ac:dyDescent="0.3">
      <c r="B6" s="63"/>
      <c r="C6" s="68"/>
      <c r="D6" s="1"/>
    </row>
    <row r="7" spans="1:19" ht="15.75" thickTop="1" x14ac:dyDescent="0.25">
      <c r="B7" s="63"/>
      <c r="C7" s="68"/>
      <c r="D7" s="1"/>
      <c r="O7" s="83">
        <f>IF(O5=B3,3,10)</f>
        <v>3</v>
      </c>
      <c r="P7" s="84">
        <f>IF(O5=B3,6,7)</f>
        <v>6</v>
      </c>
      <c r="Q7" s="85">
        <f>IF(O5=B3,9,4)</f>
        <v>9</v>
      </c>
      <c r="R7" s="86">
        <f>IF(O5=B3,12,1)</f>
        <v>12</v>
      </c>
    </row>
    <row r="8" spans="1:19" x14ac:dyDescent="0.25">
      <c r="B8" s="63"/>
      <c r="C8" s="68"/>
      <c r="D8" s="1"/>
      <c r="J8" s="57" t="s">
        <v>356</v>
      </c>
      <c r="L8" s="56" t="s">
        <v>354</v>
      </c>
      <c r="O8" s="77"/>
      <c r="P8" s="79"/>
      <c r="Q8" s="80"/>
      <c r="R8" s="74"/>
    </row>
    <row r="9" spans="1:19" ht="15.75" thickBot="1" x14ac:dyDescent="0.3">
      <c r="B9" s="64"/>
      <c r="C9" s="69"/>
      <c r="D9" s="1"/>
      <c r="O9" s="77"/>
      <c r="P9" s="79"/>
      <c r="Q9" s="80"/>
      <c r="R9" s="74"/>
    </row>
    <row r="10" spans="1:19" ht="15.75" customHeight="1" thickTop="1" thickBot="1" x14ac:dyDescent="0.3">
      <c r="A10" t="s">
        <v>296</v>
      </c>
      <c r="D10" s="1"/>
      <c r="N10" s="51"/>
      <c r="O10" s="77">
        <f>IF(O5=B3,2,11)</f>
        <v>2</v>
      </c>
      <c r="P10" s="79">
        <f>IF(O5=B3,5,8)</f>
        <v>5</v>
      </c>
      <c r="Q10" s="80">
        <f>IF(O5=B3,8,5)</f>
        <v>8</v>
      </c>
      <c r="R10" s="74">
        <f>IF(O5=B3,11,2)</f>
        <v>11</v>
      </c>
      <c r="S10" s="51"/>
    </row>
    <row r="11" spans="1:19" ht="15.75" customHeight="1" thickBot="1" x14ac:dyDescent="0.35">
      <c r="A11">
        <v>1</v>
      </c>
      <c r="B11" s="73" t="s">
        <v>362</v>
      </c>
      <c r="C11" s="73" t="s">
        <v>363</v>
      </c>
      <c r="D11" s="1"/>
      <c r="I11" s="50"/>
      <c r="N11" s="52"/>
      <c r="O11" s="77"/>
      <c r="P11" s="79"/>
      <c r="Q11" s="80"/>
      <c r="R11" s="74"/>
      <c r="S11" s="52"/>
    </row>
    <row r="12" spans="1:19" ht="15.75" customHeight="1" thickBot="1" x14ac:dyDescent="0.3">
      <c r="A12">
        <v>2</v>
      </c>
      <c r="B12" s="73" t="s">
        <v>364</v>
      </c>
      <c r="C12" s="73" t="s">
        <v>365</v>
      </c>
      <c r="D12" s="1"/>
      <c r="N12" s="53"/>
      <c r="O12" s="77"/>
      <c r="P12" s="79"/>
      <c r="Q12" s="80"/>
      <c r="R12" s="74"/>
      <c r="S12" s="53"/>
    </row>
    <row r="13" spans="1:19" ht="15.75" customHeight="1" thickBot="1" x14ac:dyDescent="0.3">
      <c r="A13">
        <v>3</v>
      </c>
      <c r="B13" s="73" t="s">
        <v>366</v>
      </c>
      <c r="C13" s="73" t="s">
        <v>366</v>
      </c>
      <c r="D13" s="1"/>
      <c r="O13" s="77">
        <f>IF(O5=B3,1,12)</f>
        <v>1</v>
      </c>
      <c r="P13" s="79">
        <f>IF(O5=B3,4,9)</f>
        <v>4</v>
      </c>
      <c r="Q13" s="80">
        <f>IF(O5=B3,7,6)</f>
        <v>7</v>
      </c>
      <c r="R13" s="74">
        <f>IF(O5=B3,10,3)</f>
        <v>10</v>
      </c>
    </row>
    <row r="14" spans="1:19" ht="15.75" customHeight="1" thickBot="1" x14ac:dyDescent="0.3">
      <c r="A14">
        <v>4</v>
      </c>
      <c r="B14" s="73"/>
      <c r="C14" s="73"/>
      <c r="D14" s="1"/>
      <c r="O14" s="77"/>
      <c r="P14" s="79"/>
      <c r="Q14" s="80"/>
      <c r="R14" s="74"/>
    </row>
    <row r="15" spans="1:19" ht="15.75" customHeight="1" thickBot="1" x14ac:dyDescent="0.3">
      <c r="A15">
        <v>5</v>
      </c>
      <c r="B15" s="73"/>
      <c r="C15" s="73"/>
      <c r="D15" s="1"/>
      <c r="J15" s="55" t="s">
        <v>358</v>
      </c>
      <c r="O15" s="78"/>
      <c r="P15" s="81"/>
      <c r="Q15" s="82"/>
      <c r="R15" s="75"/>
    </row>
    <row r="16" spans="1:19" ht="15.75" customHeight="1" thickBot="1" x14ac:dyDescent="0.3">
      <c r="A16">
        <v>6</v>
      </c>
      <c r="B16" s="73"/>
      <c r="C16" s="73"/>
      <c r="D16" s="1"/>
    </row>
    <row r="17" spans="1:12" ht="15.75" customHeight="1" thickBot="1" x14ac:dyDescent="0.3">
      <c r="A17">
        <v>7</v>
      </c>
      <c r="B17" s="73"/>
      <c r="C17" s="73"/>
      <c r="D17" s="1"/>
      <c r="J17" s="49"/>
    </row>
    <row r="18" spans="1:12" ht="15.75" customHeight="1" thickBot="1" x14ac:dyDescent="0.3">
      <c r="A18">
        <v>8</v>
      </c>
      <c r="B18" s="73"/>
      <c r="C18" s="73"/>
    </row>
    <row r="19" spans="1:12" ht="15.75" customHeight="1" thickBot="1" x14ac:dyDescent="0.3">
      <c r="A19">
        <v>9</v>
      </c>
      <c r="B19" s="73"/>
      <c r="C19" s="73"/>
    </row>
    <row r="20" spans="1:12" ht="15.75" customHeight="1" thickBot="1" x14ac:dyDescent="0.3">
      <c r="A20">
        <v>10</v>
      </c>
      <c r="B20" s="73"/>
      <c r="C20" s="73"/>
      <c r="J20" t="s">
        <v>355</v>
      </c>
    </row>
    <row r="21" spans="1:12" ht="15.75" customHeight="1" thickBot="1" x14ac:dyDescent="0.3">
      <c r="A21">
        <v>11</v>
      </c>
      <c r="B21" s="73"/>
      <c r="C21" s="73"/>
      <c r="J21" s="58" t="s">
        <v>357</v>
      </c>
    </row>
    <row r="22" spans="1:12" ht="15.75" customHeight="1" thickBot="1" x14ac:dyDescent="0.3">
      <c r="A22">
        <v>12</v>
      </c>
      <c r="B22" s="73"/>
      <c r="C22" s="73"/>
      <c r="L22" s="54"/>
    </row>
    <row r="23" spans="1:12" ht="15.75" customHeight="1" x14ac:dyDescent="0.25"/>
    <row r="24" spans="1:12" ht="15.75" customHeight="1" x14ac:dyDescent="0.25"/>
    <row r="25" spans="1:12" ht="15.75" customHeight="1" x14ac:dyDescent="0.25"/>
    <row r="26" spans="1:12" ht="15.75" customHeight="1" x14ac:dyDescent="0.25"/>
    <row r="127" spans="7:8" x14ac:dyDescent="0.25">
      <c r="G127" s="60"/>
      <c r="H127" s="61"/>
    </row>
    <row r="128" spans="7:8" x14ac:dyDescent="0.25">
      <c r="G128" s="60"/>
      <c r="H128" s="61"/>
    </row>
    <row r="129" spans="7:7" x14ac:dyDescent="0.25">
      <c r="G129" s="60"/>
    </row>
    <row r="130" spans="7:7" x14ac:dyDescent="0.25">
      <c r="G130" s="60"/>
    </row>
    <row r="131" spans="7:7" x14ac:dyDescent="0.25">
      <c r="G131" s="60"/>
    </row>
    <row r="132" spans="7:7" x14ac:dyDescent="0.25">
      <c r="G132" s="60"/>
    </row>
    <row r="133" spans="7:7" x14ac:dyDescent="0.25">
      <c r="G133" s="60"/>
    </row>
    <row r="136" spans="7:7" x14ac:dyDescent="0.25">
      <c r="G136" s="70"/>
    </row>
    <row r="365" spans="7:7" x14ac:dyDescent="0.25">
      <c r="G365" s="60"/>
    </row>
    <row r="367" spans="7:7" x14ac:dyDescent="0.25">
      <c r="G367" s="60"/>
    </row>
    <row r="370" spans="7:9" x14ac:dyDescent="0.25">
      <c r="G370" s="60"/>
    </row>
    <row r="371" spans="7:9" x14ac:dyDescent="0.25">
      <c r="I371" s="3"/>
    </row>
    <row r="496" spans="7:7" x14ac:dyDescent="0.25">
      <c r="G496" s="60"/>
    </row>
  </sheetData>
  <mergeCells count="15">
    <mergeCell ref="R10:R12"/>
    <mergeCell ref="R13:R15"/>
    <mergeCell ref="O5:P5"/>
    <mergeCell ref="Q5:R5"/>
    <mergeCell ref="O2:R3"/>
    <mergeCell ref="O10:O12"/>
    <mergeCell ref="O13:O15"/>
    <mergeCell ref="P10:P12"/>
    <mergeCell ref="Q10:Q12"/>
    <mergeCell ref="P13:P15"/>
    <mergeCell ref="Q13:Q15"/>
    <mergeCell ref="O7:O9"/>
    <mergeCell ref="P7:P9"/>
    <mergeCell ref="Q7:Q9"/>
    <mergeCell ref="R7:R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BallonRouge" altText="Ballon rouge">
                <anchor>
                  <from>
                    <xdr:col>18</xdr:col>
                    <xdr:colOff>0</xdr:colOff>
                    <xdr:row>0</xdr:row>
                    <xdr:rowOff>66675</xdr:rowOff>
                  </from>
                  <to>
                    <xdr:col>20</xdr:col>
                    <xdr:colOff>228600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BallonBleu">
                <anchor>
                  <from>
                    <xdr:col>18</xdr:col>
                    <xdr:colOff>9525</xdr:colOff>
                    <xdr:row>2</xdr:row>
                    <xdr:rowOff>76200</xdr:rowOff>
                  </from>
                  <to>
                    <xdr:col>20</xdr:col>
                    <xdr:colOff>238125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Changement">
                <anchor>
                  <from>
                    <xdr:col>4</xdr:col>
                    <xdr:colOff>85725</xdr:colOff>
                    <xdr:row>3</xdr:row>
                    <xdr:rowOff>152400</xdr:rowOff>
                  </from>
                  <to>
                    <xdr:col>6</xdr:col>
                    <xdr:colOff>323850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CopierNoms">
                <anchor>
                  <from>
                    <xdr:col>0</xdr:col>
                    <xdr:colOff>47625</xdr:colOff>
                    <xdr:row>22</xdr:row>
                    <xdr:rowOff>85725</xdr:rowOff>
                  </from>
                  <to>
                    <xdr:col>1</xdr:col>
                    <xdr:colOff>771525</xdr:colOff>
                    <xdr:row>24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AttaquePlacée">
                <anchor>
                  <from>
                    <xdr:col>10</xdr:col>
                    <xdr:colOff>638175</xdr:colOff>
                    <xdr:row>9</xdr:row>
                    <xdr:rowOff>190500</xdr:rowOff>
                  </from>
                  <to>
                    <xdr:col>12</xdr:col>
                    <xdr:colOff>114300</xdr:colOff>
                    <xdr:row>11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Transition">
                <anchor>
                  <from>
                    <xdr:col>10</xdr:col>
                    <xdr:colOff>638175</xdr:colOff>
                    <xdr:row>7</xdr:row>
                    <xdr:rowOff>180975</xdr:rowOff>
                  </from>
                  <to>
                    <xdr:col>12</xdr:col>
                    <xdr:colOff>114300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0" name="Button 23">
              <controlPr defaultSize="0" print="0" autoFill="0" autoPict="0" macro="[0]!CPA">
                <anchor>
                  <from>
                    <xdr:col>10</xdr:col>
                    <xdr:colOff>638175</xdr:colOff>
                    <xdr:row>11</xdr:row>
                    <xdr:rowOff>180975</xdr:rowOff>
                  </from>
                  <to>
                    <xdr:col>12</xdr:col>
                    <xdr:colOff>123825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1" name="Button 24">
              <controlPr defaultSize="0" print="0" autoFill="0" autoPict="0" macro="[0]!PowerPlay">
                <anchor>
                  <from>
                    <xdr:col>10</xdr:col>
                    <xdr:colOff>638175</xdr:colOff>
                    <xdr:row>15</xdr:row>
                    <xdr:rowOff>142875</xdr:rowOff>
                  </from>
                  <to>
                    <xdr:col>12</xdr:col>
                    <xdr:colOff>114300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2" name="Button 25">
              <controlPr defaultSize="0" print="0" autoFill="0" autoPict="0" macro="[0]!QuatreCtrois">
                <anchor>
                  <from>
                    <xdr:col>10</xdr:col>
                    <xdr:colOff>628650</xdr:colOff>
                    <xdr:row>21</xdr:row>
                    <xdr:rowOff>104775</xdr:rowOff>
                  </from>
                  <to>
                    <xdr:col>12</xdr:col>
                    <xdr:colOff>114300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3" name="Button 26">
              <controlPr defaultSize="0" print="0" autoFill="0" autoPict="0" macro="[0]!ContrePowerPlay">
                <anchor>
                  <from>
                    <xdr:col>10</xdr:col>
                    <xdr:colOff>638175</xdr:colOff>
                    <xdr:row>17</xdr:row>
                    <xdr:rowOff>133350</xdr:rowOff>
                  </from>
                  <to>
                    <xdr:col>12</xdr:col>
                    <xdr:colOff>123825</xdr:colOff>
                    <xdr:row>19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4" name="Button 27">
              <controlPr defaultSize="0" print="0" autoFill="0" autoPict="0" macro="[0]!MontéeGB">
                <anchor>
                  <from>
                    <xdr:col>10</xdr:col>
                    <xdr:colOff>638175</xdr:colOff>
                    <xdr:row>13</xdr:row>
                    <xdr:rowOff>152400</xdr:rowOff>
                  </from>
                  <to>
                    <xdr:col>12</xdr:col>
                    <xdr:colOff>123825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5" name="Button 28">
              <controlPr defaultSize="0" print="0" autoFill="0" autoPict="0" macro="[0]!_xludf.CSC">
                <anchor>
                  <from>
                    <xdr:col>10</xdr:col>
                    <xdr:colOff>638175</xdr:colOff>
                    <xdr:row>19</xdr:row>
                    <xdr:rowOff>114300</xdr:rowOff>
                  </from>
                  <to>
                    <xdr:col>12</xdr:col>
                    <xdr:colOff>114300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TirNonCadré.TirNonCadré">
                <anchor>
                  <from>
                    <xdr:col>6</xdr:col>
                    <xdr:colOff>438150</xdr:colOff>
                    <xdr:row>11</xdr:row>
                    <xdr:rowOff>152400</xdr:rowOff>
                  </from>
                  <to>
                    <xdr:col>8</xdr:col>
                    <xdr:colOff>104775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TirCadré.TirCadré">
                <anchor>
                  <from>
                    <xdr:col>6</xdr:col>
                    <xdr:colOff>438150</xdr:colOff>
                    <xdr:row>9</xdr:row>
                    <xdr:rowOff>180975</xdr:rowOff>
                  </from>
                  <to>
                    <xdr:col>8</xdr:col>
                    <xdr:colOff>104775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8" name="Button 39">
              <controlPr defaultSize="0" print="0" autoFill="0" autoPict="0" macro="[0]!TirContré.TirContré">
                <anchor>
                  <from>
                    <xdr:col>6</xdr:col>
                    <xdr:colOff>438150</xdr:colOff>
                    <xdr:row>7</xdr:row>
                    <xdr:rowOff>180975</xdr:rowOff>
                  </from>
                  <to>
                    <xdr:col>8</xdr:col>
                    <xdr:colOff>104775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9" name="Button 40">
              <controlPr defaultSize="0" print="0" autoFill="0" autoPict="0" macro="[0]!Dégagement.Dégagement">
                <anchor>
                  <from>
                    <xdr:col>8</xdr:col>
                    <xdr:colOff>876300</xdr:colOff>
                    <xdr:row>8</xdr:row>
                    <xdr:rowOff>0</xdr:rowOff>
                  </from>
                  <to>
                    <xdr:col>10</xdr:col>
                    <xdr:colOff>152400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0" name="Button 41">
              <controlPr defaultSize="0" print="0" autoFill="0" autoPict="0" macro="[0]!Interception.Interception">
                <anchor>
                  <from>
                    <xdr:col>8</xdr:col>
                    <xdr:colOff>885825</xdr:colOff>
                    <xdr:row>10</xdr:row>
                    <xdr:rowOff>19050</xdr:rowOff>
                  </from>
                  <to>
                    <xdr:col>10</xdr:col>
                    <xdr:colOff>171450</xdr:colOff>
                    <xdr:row>11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1" name="Button 42">
              <controlPr defaultSize="0" print="0" autoFill="0" autoPict="0" macro="[0]!RécupPied.RécupPied">
                <anchor>
                  <from>
                    <xdr:col>8</xdr:col>
                    <xdr:colOff>885825</xdr:colOff>
                    <xdr:row>11</xdr:row>
                    <xdr:rowOff>180975</xdr:rowOff>
                  </from>
                  <to>
                    <xdr:col>10</xdr:col>
                    <xdr:colOff>171450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2" name="Button 46">
              <controlPr defaultSize="0" print="0" autoFill="0" autoPict="0" macro="[0]!Inverser">
                <anchor>
                  <from>
                    <xdr:col>13</xdr:col>
                    <xdr:colOff>0</xdr:colOff>
                    <xdr:row>3</xdr:row>
                    <xdr:rowOff>152400</xdr:rowOff>
                  </from>
                  <to>
                    <xdr:col>13</xdr:col>
                    <xdr:colOff>257175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3" name="Button 47">
              <controlPr defaultSize="0" print="0" autoFill="0" autoPict="0" macro="[0]!UserForm">
                <anchor>
                  <from>
                    <xdr:col>6</xdr:col>
                    <xdr:colOff>419100</xdr:colOff>
                    <xdr:row>17</xdr:row>
                    <xdr:rowOff>152400</xdr:rowOff>
                  </from>
                  <to>
                    <xdr:col>8</xdr:col>
                    <xdr:colOff>85725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4" name="Button 48">
              <controlPr defaultSize="0" print="0" autoFill="0" autoPict="0" macro="[0]!LancerRelanceRatée.LancerRelanceRatée">
                <anchor>
                  <from>
                    <xdr:col>8</xdr:col>
                    <xdr:colOff>866775</xdr:colOff>
                    <xdr:row>22</xdr:row>
                    <xdr:rowOff>171450</xdr:rowOff>
                  </from>
                  <to>
                    <xdr:col>10</xdr:col>
                    <xdr:colOff>142875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5" name="Button 49">
              <controlPr defaultSize="0" print="0" autoFill="0" autoPict="0" macro="[0]!LancerRelanceRéussie.LancerRelanceRéussie">
                <anchor>
                  <from>
                    <xdr:col>8</xdr:col>
                    <xdr:colOff>866775</xdr:colOff>
                    <xdr:row>20</xdr:row>
                    <xdr:rowOff>200025</xdr:rowOff>
                  </from>
                  <to>
                    <xdr:col>10</xdr:col>
                    <xdr:colOff>152400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6" name="Button 50">
              <controlPr defaultSize="0" print="0" autoFill="0" autoPict="0" macro="[0]!Carton.Carton">
                <anchor>
                  <from>
                    <xdr:col>6</xdr:col>
                    <xdr:colOff>419100</xdr:colOff>
                    <xdr:row>19</xdr:row>
                    <xdr:rowOff>152400</xdr:rowOff>
                  </from>
                  <to>
                    <xdr:col>8</xdr:col>
                    <xdr:colOff>76200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27" name="Button 51">
              <controlPr defaultSize="0" print="0" autoFill="0" autoPict="0" macro="[0]!DribbleRéussi.DribbleRéussi">
                <anchor>
                  <from>
                    <xdr:col>8</xdr:col>
                    <xdr:colOff>876300</xdr:colOff>
                    <xdr:row>16</xdr:row>
                    <xdr:rowOff>152400</xdr:rowOff>
                  </from>
                  <to>
                    <xdr:col>10</xdr:col>
                    <xdr:colOff>152400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28" name="Button 52">
              <controlPr defaultSize="0" print="0" autoFill="0" autoPict="0" macro="[0]!DribbleRaté.DribbleRaté">
                <anchor>
                  <from>
                    <xdr:col>8</xdr:col>
                    <xdr:colOff>885825</xdr:colOff>
                    <xdr:row>14</xdr:row>
                    <xdr:rowOff>190500</xdr:rowOff>
                  </from>
                  <to>
                    <xdr:col>10</xdr:col>
                    <xdr:colOff>171450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29" name="Button 53">
              <controlPr defaultSize="0" print="0" autoFill="0" autoPict="0" macro="[0]!ModeCodage.ModeCodage">
                <anchor>
                  <from>
                    <xdr:col>19</xdr:col>
                    <xdr:colOff>38100</xdr:colOff>
                    <xdr:row>5</xdr:row>
                    <xdr:rowOff>190500</xdr:rowOff>
                  </from>
                  <to>
                    <xdr:col>19</xdr:col>
                    <xdr:colOff>723900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0" name="Button 54">
              <controlPr defaultSize="0" print="0" autoFill="0" autoPict="0" macro="[0]!Extraction.Extraction">
                <anchor moveWithCells="1" sizeWithCells="1">
                  <from>
                    <xdr:col>19</xdr:col>
                    <xdr:colOff>85725</xdr:colOff>
                    <xdr:row>22</xdr:row>
                    <xdr:rowOff>190500</xdr:rowOff>
                  </from>
                  <to>
                    <xdr:col>20</xdr:col>
                    <xdr:colOff>276225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1" name="Button 55">
              <controlPr defaultSize="0" print="0" autoFill="0" autoPict="0" macro="[0]!MT.MT">
                <anchor moveWithCells="1" sizeWithCells="1">
                  <from>
                    <xdr:col>16</xdr:col>
                    <xdr:colOff>514350</xdr:colOff>
                    <xdr:row>0</xdr:row>
                    <xdr:rowOff>123825</xdr:rowOff>
                  </from>
                  <to>
                    <xdr:col>17</xdr:col>
                    <xdr:colOff>352425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2" name="Button 56">
              <controlPr defaultSize="0" print="0" autoFill="0" autoPict="0" macro="[0]!DébuterCodage.DébuterCodage">
                <anchor moveWithCells="1" sizeWithCells="1">
                  <from>
                    <xdr:col>9</xdr:col>
                    <xdr:colOff>19050</xdr:colOff>
                    <xdr:row>3</xdr:row>
                    <xdr:rowOff>85725</xdr:rowOff>
                  </from>
                  <to>
                    <xdr:col>10</xdr:col>
                    <xdr:colOff>676275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6639F-42CA-45E8-962E-4541C7339AC7}">
  <sheetPr codeName="Feuil2"/>
  <dimension ref="D2:DT386"/>
  <sheetViews>
    <sheetView zoomScale="85" zoomScaleNormal="85" workbookViewId="0">
      <selection activeCell="E7" sqref="E7"/>
    </sheetView>
  </sheetViews>
  <sheetFormatPr baseColWidth="10" defaultRowHeight="15" x14ac:dyDescent="0.25"/>
  <cols>
    <col min="1" max="124" width="11.42578125" style="48"/>
    <col min="125" max="125" width="14.7109375" style="48" customWidth="1"/>
    <col min="126" max="126" width="30.85546875" style="48" bestFit="1" customWidth="1"/>
    <col min="127" max="16384" width="11.42578125" style="48"/>
  </cols>
  <sheetData>
    <row r="2" spans="4:120" x14ac:dyDescent="0.25">
      <c r="D2" s="71"/>
      <c r="H2" s="71"/>
      <c r="L2" s="71"/>
      <c r="P2" s="71"/>
      <c r="T2" s="71"/>
      <c r="X2" s="71"/>
      <c r="AB2" s="71"/>
      <c r="AF2" s="71"/>
      <c r="AJ2" s="71"/>
      <c r="AN2" s="71"/>
      <c r="AR2" s="71"/>
      <c r="AV2" s="71"/>
      <c r="AZ2" s="71"/>
      <c r="BD2" s="71"/>
      <c r="BH2" s="71"/>
      <c r="BL2" s="71"/>
      <c r="BP2" s="71"/>
      <c r="BT2" s="71"/>
      <c r="BX2" s="71"/>
      <c r="CB2" s="71"/>
      <c r="CF2" s="71"/>
      <c r="CH2" s="3"/>
      <c r="CL2" s="3"/>
      <c r="CP2" s="3"/>
      <c r="CT2" s="3"/>
      <c r="CV2" s="3"/>
      <c r="CX2" s="3"/>
      <c r="DB2" s="3"/>
      <c r="DF2" s="3"/>
      <c r="DJ2" s="3"/>
      <c r="DN2" s="3"/>
      <c r="DP2" s="3"/>
    </row>
    <row r="26" spans="122:124" x14ac:dyDescent="0.25">
      <c r="DR26" s="3"/>
      <c r="DT26" s="3"/>
    </row>
    <row r="27" spans="122:124" x14ac:dyDescent="0.25">
      <c r="DR27" s="3"/>
      <c r="DT27" s="3"/>
    </row>
    <row r="28" spans="122:124" x14ac:dyDescent="0.25">
      <c r="DR28" s="3"/>
      <c r="DT28" s="3"/>
    </row>
    <row r="29" spans="122:124" x14ac:dyDescent="0.25">
      <c r="DR29" s="3"/>
      <c r="DT29" s="3"/>
    </row>
    <row r="30" spans="122:124" x14ac:dyDescent="0.25">
      <c r="DR30" s="3"/>
      <c r="DT30" s="3"/>
    </row>
    <row r="31" spans="122:124" x14ac:dyDescent="0.25">
      <c r="DR31" s="3"/>
      <c r="DT31" s="3"/>
    </row>
    <row r="32" spans="122:124" x14ac:dyDescent="0.25">
      <c r="DR32" s="3"/>
      <c r="DT32" s="3"/>
    </row>
    <row r="33" spans="122:124" x14ac:dyDescent="0.25">
      <c r="DR33" s="3"/>
      <c r="DT33" s="3"/>
    </row>
    <row r="34" spans="122:124" x14ac:dyDescent="0.25">
      <c r="DR34" s="3"/>
      <c r="DT34" s="3"/>
    </row>
    <row r="35" spans="122:124" x14ac:dyDescent="0.25">
      <c r="DR35" s="3"/>
      <c r="DT35" s="3"/>
    </row>
    <row r="36" spans="122:124" x14ac:dyDescent="0.25">
      <c r="DR36" s="3"/>
      <c r="DT36" s="3"/>
    </row>
    <row r="37" spans="122:124" x14ac:dyDescent="0.25">
      <c r="DR37" s="3"/>
      <c r="DT37" s="3"/>
    </row>
    <row r="38" spans="122:124" x14ac:dyDescent="0.25">
      <c r="DR38" s="3"/>
      <c r="DT38" s="3"/>
    </row>
    <row r="39" spans="122:124" x14ac:dyDescent="0.25">
      <c r="DR39" s="3"/>
      <c r="DT39" s="3"/>
    </row>
    <row r="40" spans="122:124" x14ac:dyDescent="0.25">
      <c r="DR40" s="3"/>
      <c r="DT40" s="3"/>
    </row>
    <row r="41" spans="122:124" x14ac:dyDescent="0.25">
      <c r="DR41" s="3"/>
      <c r="DT41" s="3"/>
    </row>
    <row r="42" spans="122:124" x14ac:dyDescent="0.25">
      <c r="DR42" s="3"/>
      <c r="DT42" s="3"/>
    </row>
    <row r="43" spans="122:124" x14ac:dyDescent="0.25">
      <c r="DR43" s="3"/>
      <c r="DT43" s="3"/>
    </row>
    <row r="44" spans="122:124" x14ac:dyDescent="0.25">
      <c r="DR44" s="3"/>
      <c r="DT44" s="3"/>
    </row>
    <row r="45" spans="122:124" x14ac:dyDescent="0.25">
      <c r="DR45" s="3"/>
      <c r="DT45" s="3"/>
    </row>
    <row r="46" spans="122:124" x14ac:dyDescent="0.25">
      <c r="DR46" s="3"/>
      <c r="DT46" s="3"/>
    </row>
    <row r="47" spans="122:124" x14ac:dyDescent="0.25">
      <c r="DR47" s="3"/>
      <c r="DT47" s="3"/>
    </row>
    <row r="48" spans="122:124" x14ac:dyDescent="0.25">
      <c r="DR48" s="3"/>
      <c r="DT48" s="3"/>
    </row>
    <row r="49" spans="122:124" x14ac:dyDescent="0.25">
      <c r="DR49" s="3"/>
      <c r="DT49" s="3"/>
    </row>
    <row r="50" spans="122:124" x14ac:dyDescent="0.25">
      <c r="DR50" s="3"/>
      <c r="DT50" s="3"/>
    </row>
    <row r="51" spans="122:124" x14ac:dyDescent="0.25">
      <c r="DR51" s="3"/>
      <c r="DT51" s="3"/>
    </row>
    <row r="52" spans="122:124" x14ac:dyDescent="0.25">
      <c r="DR52" s="3"/>
      <c r="DT52" s="3"/>
    </row>
    <row r="53" spans="122:124" x14ac:dyDescent="0.25">
      <c r="DR53" s="3"/>
      <c r="DT53" s="3"/>
    </row>
    <row r="54" spans="122:124" x14ac:dyDescent="0.25">
      <c r="DR54" s="3"/>
      <c r="DT54" s="3"/>
    </row>
    <row r="55" spans="122:124" x14ac:dyDescent="0.25">
      <c r="DR55" s="3"/>
      <c r="DT55" s="3"/>
    </row>
    <row r="56" spans="122:124" x14ac:dyDescent="0.25">
      <c r="DR56" s="3"/>
      <c r="DT56" s="3"/>
    </row>
    <row r="57" spans="122:124" x14ac:dyDescent="0.25">
      <c r="DR57" s="3"/>
      <c r="DT57" s="3"/>
    </row>
    <row r="58" spans="122:124" x14ac:dyDescent="0.25">
      <c r="DR58" s="3"/>
      <c r="DT58" s="3"/>
    </row>
    <row r="59" spans="122:124" x14ac:dyDescent="0.25">
      <c r="DR59" s="3"/>
      <c r="DT59" s="3"/>
    </row>
    <row r="60" spans="122:124" x14ac:dyDescent="0.25">
      <c r="DR60" s="3"/>
      <c r="DT60" s="3"/>
    </row>
    <row r="61" spans="122:124" x14ac:dyDescent="0.25">
      <c r="DR61" s="3"/>
      <c r="DT61" s="3"/>
    </row>
    <row r="62" spans="122:124" x14ac:dyDescent="0.25">
      <c r="DR62" s="3"/>
      <c r="DT62" s="3"/>
    </row>
    <row r="63" spans="122:124" x14ac:dyDescent="0.25">
      <c r="DR63" s="3"/>
      <c r="DT63" s="3"/>
    </row>
    <row r="64" spans="122:124" x14ac:dyDescent="0.25">
      <c r="DR64" s="3"/>
      <c r="DT64" s="3"/>
    </row>
    <row r="65" spans="122:124" x14ac:dyDescent="0.25">
      <c r="DR65" s="3"/>
      <c r="DT65" s="3"/>
    </row>
    <row r="66" spans="122:124" x14ac:dyDescent="0.25">
      <c r="DR66" s="3"/>
      <c r="DT66" s="3"/>
    </row>
    <row r="67" spans="122:124" x14ac:dyDescent="0.25">
      <c r="DR67" s="3"/>
      <c r="DT67" s="3"/>
    </row>
    <row r="68" spans="122:124" x14ac:dyDescent="0.25">
      <c r="DR68" s="3"/>
      <c r="DT68" s="3"/>
    </row>
    <row r="69" spans="122:124" x14ac:dyDescent="0.25">
      <c r="DR69" s="3"/>
      <c r="DT69" s="3"/>
    </row>
    <row r="70" spans="122:124" x14ac:dyDescent="0.25">
      <c r="DR70" s="3"/>
      <c r="DT70" s="3"/>
    </row>
    <row r="71" spans="122:124" x14ac:dyDescent="0.25">
      <c r="DR71" s="3"/>
      <c r="DT71" s="3"/>
    </row>
    <row r="72" spans="122:124" x14ac:dyDescent="0.25">
      <c r="DR72" s="3"/>
      <c r="DT72" s="3"/>
    </row>
    <row r="73" spans="122:124" x14ac:dyDescent="0.25">
      <c r="DR73" s="3"/>
      <c r="DT73" s="3"/>
    </row>
    <row r="74" spans="122:124" x14ac:dyDescent="0.25">
      <c r="DR74" s="3"/>
      <c r="DT74" s="3"/>
    </row>
    <row r="75" spans="122:124" x14ac:dyDescent="0.25">
      <c r="DR75" s="3"/>
      <c r="DT75" s="3"/>
    </row>
    <row r="76" spans="122:124" x14ac:dyDescent="0.25">
      <c r="DR76" s="3"/>
      <c r="DT76" s="3"/>
    </row>
    <row r="77" spans="122:124" x14ac:dyDescent="0.25">
      <c r="DR77" s="3"/>
      <c r="DT77" s="3"/>
    </row>
    <row r="78" spans="122:124" x14ac:dyDescent="0.25">
      <c r="DR78" s="3"/>
      <c r="DT78" s="3"/>
    </row>
    <row r="79" spans="122:124" x14ac:dyDescent="0.25">
      <c r="DR79" s="3"/>
      <c r="DT79" s="3"/>
    </row>
    <row r="80" spans="122:124" x14ac:dyDescent="0.25">
      <c r="DR80" s="3"/>
      <c r="DT80" s="3"/>
    </row>
    <row r="81" spans="122:124" x14ac:dyDescent="0.25">
      <c r="DR81" s="3"/>
      <c r="DT81" s="3"/>
    </row>
    <row r="82" spans="122:124" x14ac:dyDescent="0.25">
      <c r="DR82" s="3"/>
      <c r="DT82" s="3"/>
    </row>
    <row r="83" spans="122:124" x14ac:dyDescent="0.25">
      <c r="DR83" s="3"/>
      <c r="DT83" s="3"/>
    </row>
    <row r="84" spans="122:124" x14ac:dyDescent="0.25">
      <c r="DR84" s="3"/>
      <c r="DT84" s="3"/>
    </row>
    <row r="85" spans="122:124" x14ac:dyDescent="0.25">
      <c r="DR85" s="3"/>
      <c r="DT85" s="3"/>
    </row>
    <row r="86" spans="122:124" x14ac:dyDescent="0.25">
      <c r="DR86" s="3"/>
      <c r="DT86" s="3"/>
    </row>
    <row r="87" spans="122:124" x14ac:dyDescent="0.25">
      <c r="DR87" s="3"/>
      <c r="DT87" s="3"/>
    </row>
    <row r="88" spans="122:124" x14ac:dyDescent="0.25">
      <c r="DR88" s="3"/>
      <c r="DT88" s="3"/>
    </row>
    <row r="89" spans="122:124" x14ac:dyDescent="0.25">
      <c r="DR89" s="3"/>
      <c r="DT89" s="3"/>
    </row>
    <row r="90" spans="122:124" x14ac:dyDescent="0.25">
      <c r="DR90" s="3"/>
      <c r="DT90" s="3"/>
    </row>
    <row r="91" spans="122:124" x14ac:dyDescent="0.25">
      <c r="DR91" s="3"/>
      <c r="DT91" s="3"/>
    </row>
    <row r="92" spans="122:124" x14ac:dyDescent="0.25">
      <c r="DR92" s="3"/>
      <c r="DT92" s="3"/>
    </row>
    <row r="93" spans="122:124" x14ac:dyDescent="0.25">
      <c r="DR93" s="3"/>
      <c r="DT93" s="3"/>
    </row>
    <row r="94" spans="122:124" x14ac:dyDescent="0.25">
      <c r="DR94" s="3"/>
      <c r="DT94" s="3"/>
    </row>
    <row r="95" spans="122:124" x14ac:dyDescent="0.25">
      <c r="DR95" s="3"/>
      <c r="DT95" s="3"/>
    </row>
    <row r="96" spans="122:124" x14ac:dyDescent="0.25">
      <c r="DR96" s="3"/>
      <c r="DT96" s="3"/>
    </row>
    <row r="97" spans="122:124" x14ac:dyDescent="0.25">
      <c r="DR97" s="3"/>
      <c r="DT97" s="3"/>
    </row>
    <row r="98" spans="122:124" x14ac:dyDescent="0.25">
      <c r="DR98" s="3"/>
      <c r="DT98" s="3"/>
    </row>
    <row r="99" spans="122:124" x14ac:dyDescent="0.25">
      <c r="DR99" s="3"/>
      <c r="DT99" s="3"/>
    </row>
    <row r="100" spans="122:124" x14ac:dyDescent="0.25">
      <c r="DR100" s="3"/>
      <c r="DT100" s="3"/>
    </row>
    <row r="101" spans="122:124" x14ac:dyDescent="0.25">
      <c r="DR101" s="3"/>
      <c r="DT101" s="3"/>
    </row>
    <row r="102" spans="122:124" x14ac:dyDescent="0.25">
      <c r="DR102" s="3"/>
      <c r="DT102" s="3"/>
    </row>
    <row r="103" spans="122:124" x14ac:dyDescent="0.25">
      <c r="DR103" s="3"/>
      <c r="DT103" s="3"/>
    </row>
    <row r="104" spans="122:124" x14ac:dyDescent="0.25">
      <c r="DR104" s="3"/>
      <c r="DT104" s="3"/>
    </row>
    <row r="105" spans="122:124" x14ac:dyDescent="0.25">
      <c r="DR105" s="3"/>
      <c r="DT105" s="3"/>
    </row>
    <row r="106" spans="122:124" x14ac:dyDescent="0.25">
      <c r="DR106" s="3"/>
      <c r="DT106" s="3"/>
    </row>
    <row r="107" spans="122:124" x14ac:dyDescent="0.25">
      <c r="DR107" s="3"/>
      <c r="DT107" s="3"/>
    </row>
    <row r="108" spans="122:124" x14ac:dyDescent="0.25">
      <c r="DR108" s="3"/>
      <c r="DT108" s="3"/>
    </row>
    <row r="109" spans="122:124" x14ac:dyDescent="0.25">
      <c r="DR109" s="3"/>
      <c r="DT109" s="3"/>
    </row>
    <row r="110" spans="122:124" x14ac:dyDescent="0.25">
      <c r="DR110" s="3"/>
      <c r="DT110" s="3"/>
    </row>
    <row r="111" spans="122:124" x14ac:dyDescent="0.25">
      <c r="DR111" s="3"/>
      <c r="DT111" s="3"/>
    </row>
    <row r="112" spans="122:124" x14ac:dyDescent="0.25">
      <c r="DR112" s="3"/>
      <c r="DT112" s="3"/>
    </row>
    <row r="113" spans="122:124" x14ac:dyDescent="0.25">
      <c r="DR113" s="3"/>
      <c r="DT113" s="3"/>
    </row>
    <row r="114" spans="122:124" x14ac:dyDescent="0.25">
      <c r="DR114" s="3"/>
      <c r="DT114" s="3"/>
    </row>
    <row r="115" spans="122:124" x14ac:dyDescent="0.25">
      <c r="DR115" s="3"/>
      <c r="DT115" s="3"/>
    </row>
    <row r="116" spans="122:124" x14ac:dyDescent="0.25">
      <c r="DR116" s="3"/>
      <c r="DT116" s="3"/>
    </row>
    <row r="117" spans="122:124" x14ac:dyDescent="0.25">
      <c r="DR117" s="3"/>
      <c r="DT117" s="3"/>
    </row>
    <row r="118" spans="122:124" x14ac:dyDescent="0.25">
      <c r="DR118" s="3"/>
      <c r="DT118" s="3"/>
    </row>
    <row r="119" spans="122:124" x14ac:dyDescent="0.25">
      <c r="DR119" s="3"/>
      <c r="DT119" s="3"/>
    </row>
    <row r="120" spans="122:124" x14ac:dyDescent="0.25">
      <c r="DR120" s="3"/>
      <c r="DT120" s="3"/>
    </row>
    <row r="121" spans="122:124" x14ac:dyDescent="0.25">
      <c r="DR121" s="3"/>
      <c r="DT121" s="3"/>
    </row>
    <row r="122" spans="122:124" x14ac:dyDescent="0.25">
      <c r="DR122" s="3"/>
      <c r="DT122" s="3"/>
    </row>
    <row r="123" spans="122:124" x14ac:dyDescent="0.25">
      <c r="DR123" s="3"/>
      <c r="DT123" s="3"/>
    </row>
    <row r="124" spans="122:124" x14ac:dyDescent="0.25">
      <c r="DR124" s="3"/>
      <c r="DT124" s="3"/>
    </row>
    <row r="125" spans="122:124" x14ac:dyDescent="0.25">
      <c r="DR125" s="3"/>
      <c r="DT125" s="3"/>
    </row>
    <row r="126" spans="122:124" x14ac:dyDescent="0.25">
      <c r="DR126" s="3"/>
      <c r="DT126" s="3"/>
    </row>
    <row r="127" spans="122:124" x14ac:dyDescent="0.25">
      <c r="DR127" s="3"/>
      <c r="DT127" s="3"/>
    </row>
    <row r="128" spans="122:124" x14ac:dyDescent="0.25">
      <c r="DR128" s="3"/>
      <c r="DT128" s="3"/>
    </row>
    <row r="129" spans="122:124" x14ac:dyDescent="0.25">
      <c r="DR129" s="3"/>
      <c r="DT129" s="3"/>
    </row>
    <row r="130" spans="122:124" x14ac:dyDescent="0.25">
      <c r="DR130" s="3"/>
      <c r="DT130" s="3"/>
    </row>
    <row r="131" spans="122:124" x14ac:dyDescent="0.25">
      <c r="DR131" s="3"/>
      <c r="DT131" s="3"/>
    </row>
    <row r="132" spans="122:124" x14ac:dyDescent="0.25">
      <c r="DR132" s="3"/>
      <c r="DT132" s="3"/>
    </row>
    <row r="133" spans="122:124" x14ac:dyDescent="0.25">
      <c r="DR133" s="3"/>
      <c r="DT133" s="3"/>
    </row>
    <row r="134" spans="122:124" x14ac:dyDescent="0.25">
      <c r="DR134" s="3"/>
      <c r="DT134" s="3"/>
    </row>
    <row r="135" spans="122:124" x14ac:dyDescent="0.25">
      <c r="DR135" s="3"/>
      <c r="DT135" s="3"/>
    </row>
    <row r="136" spans="122:124" x14ac:dyDescent="0.25">
      <c r="DR136" s="3"/>
      <c r="DT136" s="3"/>
    </row>
    <row r="137" spans="122:124" x14ac:dyDescent="0.25">
      <c r="DR137" s="3"/>
      <c r="DT137" s="3"/>
    </row>
    <row r="138" spans="122:124" x14ac:dyDescent="0.25">
      <c r="DR138" s="3"/>
      <c r="DT138" s="3"/>
    </row>
    <row r="139" spans="122:124" x14ac:dyDescent="0.25">
      <c r="DR139" s="3"/>
      <c r="DT139" s="3"/>
    </row>
    <row r="140" spans="122:124" x14ac:dyDescent="0.25">
      <c r="DR140" s="3"/>
      <c r="DT140" s="3"/>
    </row>
    <row r="141" spans="122:124" x14ac:dyDescent="0.25">
      <c r="DR141" s="3"/>
      <c r="DT141" s="3"/>
    </row>
    <row r="142" spans="122:124" x14ac:dyDescent="0.25">
      <c r="DR142" s="3"/>
      <c r="DT142" s="3"/>
    </row>
    <row r="143" spans="122:124" x14ac:dyDescent="0.25">
      <c r="DR143" s="3"/>
      <c r="DT143" s="3"/>
    </row>
    <row r="144" spans="122:124" x14ac:dyDescent="0.25">
      <c r="DR144" s="3"/>
      <c r="DT144" s="3"/>
    </row>
    <row r="145" spans="122:124" x14ac:dyDescent="0.25">
      <c r="DR145" s="3"/>
      <c r="DT145" s="3"/>
    </row>
    <row r="146" spans="122:124" x14ac:dyDescent="0.25">
      <c r="DR146" s="3"/>
      <c r="DT146" s="3"/>
    </row>
    <row r="147" spans="122:124" x14ac:dyDescent="0.25">
      <c r="DR147" s="3"/>
      <c r="DT147" s="3"/>
    </row>
    <row r="148" spans="122:124" x14ac:dyDescent="0.25">
      <c r="DR148" s="3"/>
      <c r="DT148" s="3"/>
    </row>
    <row r="149" spans="122:124" x14ac:dyDescent="0.25">
      <c r="DR149" s="3"/>
      <c r="DT149" s="3"/>
    </row>
    <row r="150" spans="122:124" x14ac:dyDescent="0.25">
      <c r="DR150" s="3"/>
      <c r="DT150" s="3"/>
    </row>
    <row r="151" spans="122:124" x14ac:dyDescent="0.25">
      <c r="DR151" s="3"/>
      <c r="DT151" s="3"/>
    </row>
    <row r="152" spans="122:124" x14ac:dyDescent="0.25">
      <c r="DR152" s="3"/>
      <c r="DT152" s="3"/>
    </row>
    <row r="153" spans="122:124" x14ac:dyDescent="0.25">
      <c r="DR153" s="3"/>
      <c r="DT153" s="3"/>
    </row>
    <row r="154" spans="122:124" x14ac:dyDescent="0.25">
      <c r="DR154" s="3"/>
      <c r="DT154" s="3"/>
    </row>
    <row r="155" spans="122:124" x14ac:dyDescent="0.25">
      <c r="DR155" s="3"/>
      <c r="DT155" s="3"/>
    </row>
    <row r="156" spans="122:124" x14ac:dyDescent="0.25">
      <c r="DR156" s="3"/>
      <c r="DT156" s="3"/>
    </row>
    <row r="157" spans="122:124" x14ac:dyDescent="0.25">
      <c r="DR157" s="3"/>
      <c r="DT157" s="3"/>
    </row>
    <row r="158" spans="122:124" x14ac:dyDescent="0.25">
      <c r="DR158" s="3"/>
      <c r="DT158" s="3"/>
    </row>
    <row r="159" spans="122:124" x14ac:dyDescent="0.25">
      <c r="DR159" s="3"/>
      <c r="DT159" s="3"/>
    </row>
    <row r="160" spans="122:124" x14ac:dyDescent="0.25">
      <c r="DR160" s="3"/>
      <c r="DT160" s="3"/>
    </row>
    <row r="161" spans="122:124" x14ac:dyDescent="0.25">
      <c r="DR161" s="3"/>
      <c r="DT161" s="3"/>
    </row>
    <row r="162" spans="122:124" x14ac:dyDescent="0.25">
      <c r="DR162" s="3"/>
      <c r="DT162" s="3"/>
    </row>
    <row r="163" spans="122:124" x14ac:dyDescent="0.25">
      <c r="DR163" s="3"/>
      <c r="DT163" s="3"/>
    </row>
    <row r="164" spans="122:124" x14ac:dyDescent="0.25">
      <c r="DR164" s="3"/>
      <c r="DT164" s="3"/>
    </row>
    <row r="165" spans="122:124" x14ac:dyDescent="0.25">
      <c r="DR165" s="3"/>
      <c r="DT165" s="3"/>
    </row>
    <row r="166" spans="122:124" x14ac:dyDescent="0.25">
      <c r="DR166" s="3"/>
      <c r="DT166" s="3"/>
    </row>
    <row r="167" spans="122:124" x14ac:dyDescent="0.25">
      <c r="DR167" s="3"/>
      <c r="DT167" s="3"/>
    </row>
    <row r="168" spans="122:124" x14ac:dyDescent="0.25">
      <c r="DR168" s="3"/>
      <c r="DT168" s="3"/>
    </row>
    <row r="169" spans="122:124" x14ac:dyDescent="0.25">
      <c r="DR169" s="3"/>
      <c r="DT169" s="3"/>
    </row>
    <row r="170" spans="122:124" x14ac:dyDescent="0.25">
      <c r="DR170" s="3"/>
      <c r="DT170" s="3"/>
    </row>
    <row r="171" spans="122:124" x14ac:dyDescent="0.25">
      <c r="DR171" s="3"/>
      <c r="DT171" s="3"/>
    </row>
    <row r="172" spans="122:124" x14ac:dyDescent="0.25">
      <c r="DR172" s="3"/>
      <c r="DT172" s="3"/>
    </row>
    <row r="173" spans="122:124" x14ac:dyDescent="0.25">
      <c r="DR173" s="3"/>
      <c r="DT173" s="3"/>
    </row>
    <row r="174" spans="122:124" x14ac:dyDescent="0.25">
      <c r="DR174" s="3"/>
      <c r="DT174" s="3"/>
    </row>
    <row r="175" spans="122:124" x14ac:dyDescent="0.25">
      <c r="DR175" s="3"/>
      <c r="DT175" s="3"/>
    </row>
    <row r="176" spans="122:124" x14ac:dyDescent="0.25">
      <c r="DR176" s="3"/>
      <c r="DT176" s="3"/>
    </row>
    <row r="177" spans="122:124" x14ac:dyDescent="0.25">
      <c r="DR177" s="3"/>
      <c r="DT177" s="3"/>
    </row>
    <row r="178" spans="122:124" x14ac:dyDescent="0.25">
      <c r="DR178" s="3"/>
      <c r="DT178" s="3"/>
    </row>
    <row r="179" spans="122:124" x14ac:dyDescent="0.25">
      <c r="DR179" s="3"/>
      <c r="DT179" s="3"/>
    </row>
    <row r="180" spans="122:124" x14ac:dyDescent="0.25">
      <c r="DR180" s="3"/>
      <c r="DT180" s="3"/>
    </row>
    <row r="181" spans="122:124" x14ac:dyDescent="0.25">
      <c r="DR181" s="3"/>
      <c r="DT181" s="3"/>
    </row>
    <row r="182" spans="122:124" x14ac:dyDescent="0.25">
      <c r="DR182" s="3"/>
      <c r="DT182" s="3"/>
    </row>
    <row r="183" spans="122:124" x14ac:dyDescent="0.25">
      <c r="DR183" s="3"/>
      <c r="DT183" s="3"/>
    </row>
    <row r="184" spans="122:124" x14ac:dyDescent="0.25">
      <c r="DR184" s="3"/>
      <c r="DT184" s="3"/>
    </row>
    <row r="185" spans="122:124" x14ac:dyDescent="0.25">
      <c r="DR185" s="3"/>
      <c r="DT185" s="3"/>
    </row>
    <row r="186" spans="122:124" x14ac:dyDescent="0.25">
      <c r="DR186" s="3"/>
      <c r="DT186" s="3"/>
    </row>
    <row r="187" spans="122:124" x14ac:dyDescent="0.25">
      <c r="DR187" s="3"/>
      <c r="DT187" s="3"/>
    </row>
    <row r="188" spans="122:124" x14ac:dyDescent="0.25">
      <c r="DR188" s="3"/>
      <c r="DT188" s="3"/>
    </row>
    <row r="189" spans="122:124" x14ac:dyDescent="0.25">
      <c r="DR189" s="3"/>
      <c r="DT189" s="3"/>
    </row>
    <row r="190" spans="122:124" x14ac:dyDescent="0.25">
      <c r="DR190" s="3"/>
      <c r="DT190" s="3"/>
    </row>
    <row r="191" spans="122:124" x14ac:dyDescent="0.25">
      <c r="DR191" s="3"/>
      <c r="DT191" s="3"/>
    </row>
    <row r="192" spans="122:124" x14ac:dyDescent="0.25">
      <c r="DR192" s="3"/>
      <c r="DT192" s="3"/>
    </row>
    <row r="193" spans="122:124" x14ac:dyDescent="0.25">
      <c r="DR193" s="3"/>
      <c r="DT193" s="3"/>
    </row>
    <row r="194" spans="122:124" x14ac:dyDescent="0.25">
      <c r="DR194" s="3"/>
      <c r="DT194" s="3"/>
    </row>
    <row r="195" spans="122:124" x14ac:dyDescent="0.25">
      <c r="DR195" s="3"/>
      <c r="DT195" s="3"/>
    </row>
    <row r="196" spans="122:124" x14ac:dyDescent="0.25">
      <c r="DR196" s="3"/>
      <c r="DT196" s="3"/>
    </row>
    <row r="197" spans="122:124" x14ac:dyDescent="0.25">
      <c r="DR197" s="3"/>
      <c r="DT197" s="3"/>
    </row>
    <row r="198" spans="122:124" x14ac:dyDescent="0.25">
      <c r="DR198" s="3"/>
      <c r="DT198" s="3"/>
    </row>
    <row r="199" spans="122:124" x14ac:dyDescent="0.25">
      <c r="DR199" s="3"/>
      <c r="DT199" s="3"/>
    </row>
    <row r="200" spans="122:124" x14ac:dyDescent="0.25">
      <c r="DR200" s="3"/>
      <c r="DT200" s="3"/>
    </row>
    <row r="201" spans="122:124" x14ac:dyDescent="0.25">
      <c r="DR201" s="3"/>
      <c r="DT201" s="3"/>
    </row>
    <row r="202" spans="122:124" x14ac:dyDescent="0.25">
      <c r="DR202" s="3"/>
      <c r="DT202" s="3"/>
    </row>
    <row r="203" spans="122:124" x14ac:dyDescent="0.25">
      <c r="DR203" s="3"/>
      <c r="DT203" s="3"/>
    </row>
    <row r="204" spans="122:124" x14ac:dyDescent="0.25">
      <c r="DR204" s="3"/>
      <c r="DT204" s="3"/>
    </row>
    <row r="205" spans="122:124" x14ac:dyDescent="0.25">
      <c r="DR205" s="3"/>
      <c r="DT205" s="3"/>
    </row>
    <row r="206" spans="122:124" x14ac:dyDescent="0.25">
      <c r="DR206" s="3"/>
      <c r="DT206" s="3"/>
    </row>
    <row r="207" spans="122:124" x14ac:dyDescent="0.25">
      <c r="DR207" s="3"/>
      <c r="DT207" s="3"/>
    </row>
    <row r="208" spans="122:124" x14ac:dyDescent="0.25">
      <c r="DR208" s="3"/>
      <c r="DT208" s="3"/>
    </row>
    <row r="209" spans="122:124" x14ac:dyDescent="0.25">
      <c r="DR209" s="3"/>
      <c r="DT209" s="3"/>
    </row>
    <row r="210" spans="122:124" x14ac:dyDescent="0.25">
      <c r="DR210" s="3"/>
      <c r="DT210" s="3"/>
    </row>
    <row r="211" spans="122:124" x14ac:dyDescent="0.25">
      <c r="DR211" s="3"/>
      <c r="DT211" s="3"/>
    </row>
    <row r="212" spans="122:124" x14ac:dyDescent="0.25">
      <c r="DR212" s="3"/>
      <c r="DT212" s="3"/>
    </row>
    <row r="213" spans="122:124" x14ac:dyDescent="0.25">
      <c r="DR213" s="3"/>
      <c r="DT213" s="3"/>
    </row>
    <row r="214" spans="122:124" x14ac:dyDescent="0.25">
      <c r="DR214" s="3"/>
      <c r="DT214" s="3"/>
    </row>
    <row r="215" spans="122:124" x14ac:dyDescent="0.25">
      <c r="DR215" s="3"/>
      <c r="DT215" s="3"/>
    </row>
    <row r="216" spans="122:124" x14ac:dyDescent="0.25">
      <c r="DR216" s="3"/>
      <c r="DT216" s="3"/>
    </row>
    <row r="217" spans="122:124" x14ac:dyDescent="0.25">
      <c r="DR217" s="3"/>
      <c r="DT217" s="3"/>
    </row>
    <row r="218" spans="122:124" x14ac:dyDescent="0.25">
      <c r="DR218" s="3"/>
      <c r="DT218" s="3"/>
    </row>
    <row r="219" spans="122:124" x14ac:dyDescent="0.25">
      <c r="DR219" s="3"/>
      <c r="DT219" s="3"/>
    </row>
    <row r="220" spans="122:124" x14ac:dyDescent="0.25">
      <c r="DR220" s="3"/>
      <c r="DT220" s="3"/>
    </row>
    <row r="221" spans="122:124" x14ac:dyDescent="0.25">
      <c r="DR221" s="3"/>
      <c r="DT221" s="3"/>
    </row>
    <row r="222" spans="122:124" x14ac:dyDescent="0.25">
      <c r="DR222" s="3"/>
      <c r="DT222" s="3"/>
    </row>
    <row r="223" spans="122:124" x14ac:dyDescent="0.25">
      <c r="DR223" s="3"/>
      <c r="DT223" s="3"/>
    </row>
    <row r="224" spans="122:124" x14ac:dyDescent="0.25">
      <c r="DR224" s="3"/>
      <c r="DT224" s="3"/>
    </row>
    <row r="225" spans="122:124" x14ac:dyDescent="0.25">
      <c r="DR225" s="3"/>
      <c r="DT225" s="3"/>
    </row>
    <row r="226" spans="122:124" x14ac:dyDescent="0.25">
      <c r="DR226" s="3"/>
      <c r="DT226" s="3"/>
    </row>
    <row r="227" spans="122:124" x14ac:dyDescent="0.25">
      <c r="DR227" s="3"/>
      <c r="DT227" s="3"/>
    </row>
    <row r="228" spans="122:124" x14ac:dyDescent="0.25">
      <c r="DR228" s="3"/>
      <c r="DT228" s="3"/>
    </row>
    <row r="229" spans="122:124" x14ac:dyDescent="0.25">
      <c r="DR229" s="3"/>
      <c r="DT229" s="3"/>
    </row>
    <row r="230" spans="122:124" x14ac:dyDescent="0.25">
      <c r="DR230" s="3"/>
      <c r="DT230" s="3"/>
    </row>
    <row r="231" spans="122:124" x14ac:dyDescent="0.25">
      <c r="DR231" s="3"/>
      <c r="DT231" s="3"/>
    </row>
    <row r="232" spans="122:124" x14ac:dyDescent="0.25">
      <c r="DR232" s="3"/>
      <c r="DT232" s="3"/>
    </row>
    <row r="233" spans="122:124" x14ac:dyDescent="0.25">
      <c r="DR233" s="3"/>
      <c r="DT233" s="3"/>
    </row>
    <row r="234" spans="122:124" x14ac:dyDescent="0.25">
      <c r="DR234" s="3"/>
      <c r="DT234" s="3"/>
    </row>
    <row r="235" spans="122:124" x14ac:dyDescent="0.25">
      <c r="DR235" s="3"/>
      <c r="DT235" s="3"/>
    </row>
    <row r="236" spans="122:124" x14ac:dyDescent="0.25">
      <c r="DR236" s="3"/>
      <c r="DT236" s="3"/>
    </row>
    <row r="237" spans="122:124" x14ac:dyDescent="0.25">
      <c r="DR237" s="3"/>
      <c r="DT237" s="3"/>
    </row>
    <row r="238" spans="122:124" x14ac:dyDescent="0.25">
      <c r="DR238" s="3"/>
      <c r="DT238" s="3"/>
    </row>
    <row r="239" spans="122:124" x14ac:dyDescent="0.25">
      <c r="DR239" s="3"/>
      <c r="DT239" s="3"/>
    </row>
    <row r="240" spans="122:124" x14ac:dyDescent="0.25">
      <c r="DR240" s="3"/>
      <c r="DT240" s="3"/>
    </row>
    <row r="241" spans="122:124" x14ac:dyDescent="0.25">
      <c r="DR241" s="3"/>
      <c r="DS241" s="3"/>
      <c r="DT241" s="3"/>
    </row>
    <row r="242" spans="122:124" x14ac:dyDescent="0.25">
      <c r="DR242" s="3"/>
      <c r="DT242" s="3"/>
    </row>
    <row r="243" spans="122:124" x14ac:dyDescent="0.25">
      <c r="DR243" s="3"/>
      <c r="DS243" s="3"/>
      <c r="DT243" s="3"/>
    </row>
    <row r="244" spans="122:124" x14ac:dyDescent="0.25">
      <c r="DR244" s="3"/>
      <c r="DT244" s="3"/>
    </row>
    <row r="245" spans="122:124" x14ac:dyDescent="0.25">
      <c r="DR245" s="3"/>
      <c r="DT245" s="3"/>
    </row>
    <row r="246" spans="122:124" x14ac:dyDescent="0.25">
      <c r="DR246" s="3"/>
      <c r="DS246" s="3"/>
      <c r="DT246" s="3"/>
    </row>
    <row r="247" spans="122:124" x14ac:dyDescent="0.25">
      <c r="DR247" s="3"/>
      <c r="DT247" s="3"/>
    </row>
    <row r="248" spans="122:124" x14ac:dyDescent="0.25">
      <c r="DR248" s="3"/>
      <c r="DT248" s="3"/>
    </row>
    <row r="249" spans="122:124" x14ac:dyDescent="0.25">
      <c r="DR249" s="3"/>
      <c r="DT249" s="3"/>
    </row>
    <row r="250" spans="122:124" x14ac:dyDescent="0.25">
      <c r="DR250" s="3"/>
      <c r="DT250" s="3"/>
    </row>
    <row r="251" spans="122:124" x14ac:dyDescent="0.25">
      <c r="DR251" s="3"/>
      <c r="DT251" s="3"/>
    </row>
    <row r="252" spans="122:124" x14ac:dyDescent="0.25">
      <c r="DR252" s="3"/>
      <c r="DT252" s="3"/>
    </row>
    <row r="253" spans="122:124" x14ac:dyDescent="0.25">
      <c r="DR253" s="3"/>
      <c r="DT253" s="3"/>
    </row>
    <row r="254" spans="122:124" x14ac:dyDescent="0.25">
      <c r="DR254" s="3"/>
      <c r="DT254" s="3"/>
    </row>
    <row r="255" spans="122:124" x14ac:dyDescent="0.25">
      <c r="DR255" s="3"/>
      <c r="DT255" s="3"/>
    </row>
    <row r="256" spans="122:124" x14ac:dyDescent="0.25">
      <c r="DR256" s="3"/>
      <c r="DT256" s="3"/>
    </row>
    <row r="257" spans="122:124" x14ac:dyDescent="0.25">
      <c r="DR257" s="3"/>
      <c r="DT257" s="3"/>
    </row>
    <row r="258" spans="122:124" x14ac:dyDescent="0.25">
      <c r="DR258" s="3"/>
      <c r="DT258" s="3"/>
    </row>
    <row r="259" spans="122:124" x14ac:dyDescent="0.25">
      <c r="DR259" s="3"/>
      <c r="DT259" s="3"/>
    </row>
    <row r="260" spans="122:124" x14ac:dyDescent="0.25">
      <c r="DR260" s="3"/>
      <c r="DT260" s="3"/>
    </row>
    <row r="261" spans="122:124" x14ac:dyDescent="0.25">
      <c r="DR261" s="3"/>
      <c r="DT261" s="3"/>
    </row>
    <row r="262" spans="122:124" x14ac:dyDescent="0.25">
      <c r="DR262" s="3"/>
      <c r="DT262" s="3"/>
    </row>
    <row r="263" spans="122:124" x14ac:dyDescent="0.25">
      <c r="DR263" s="3"/>
      <c r="DT263" s="3"/>
    </row>
    <row r="264" spans="122:124" x14ac:dyDescent="0.25">
      <c r="DR264" s="3"/>
      <c r="DT264" s="3"/>
    </row>
    <row r="265" spans="122:124" x14ac:dyDescent="0.25">
      <c r="DR265" s="3"/>
      <c r="DT265" s="3"/>
    </row>
    <row r="266" spans="122:124" x14ac:dyDescent="0.25">
      <c r="DR266" s="3"/>
      <c r="DT266" s="3"/>
    </row>
    <row r="267" spans="122:124" x14ac:dyDescent="0.25">
      <c r="DR267" s="3"/>
      <c r="DT267" s="3"/>
    </row>
    <row r="268" spans="122:124" x14ac:dyDescent="0.25">
      <c r="DR268" s="3"/>
      <c r="DT268" s="3"/>
    </row>
    <row r="269" spans="122:124" x14ac:dyDescent="0.25">
      <c r="DR269" s="3"/>
      <c r="DT269" s="3"/>
    </row>
    <row r="270" spans="122:124" x14ac:dyDescent="0.25">
      <c r="DR270" s="3"/>
      <c r="DT270" s="3"/>
    </row>
    <row r="271" spans="122:124" x14ac:dyDescent="0.25">
      <c r="DR271" s="3"/>
      <c r="DT271" s="3"/>
    </row>
    <row r="272" spans="122:124" x14ac:dyDescent="0.25">
      <c r="DR272" s="3"/>
      <c r="DT272" s="3"/>
    </row>
    <row r="273" spans="122:124" x14ac:dyDescent="0.25">
      <c r="DR273" s="3"/>
      <c r="DT273" s="3"/>
    </row>
    <row r="274" spans="122:124" x14ac:dyDescent="0.25">
      <c r="DR274" s="3"/>
      <c r="DT274" s="3"/>
    </row>
    <row r="275" spans="122:124" x14ac:dyDescent="0.25">
      <c r="DR275" s="3"/>
      <c r="DT275" s="3"/>
    </row>
    <row r="276" spans="122:124" x14ac:dyDescent="0.25">
      <c r="DR276" s="3"/>
      <c r="DT276" s="3"/>
    </row>
    <row r="277" spans="122:124" x14ac:dyDescent="0.25">
      <c r="DR277" s="3"/>
      <c r="DT277" s="3"/>
    </row>
    <row r="278" spans="122:124" x14ac:dyDescent="0.25">
      <c r="DR278" s="3"/>
      <c r="DT278" s="3"/>
    </row>
    <row r="279" spans="122:124" x14ac:dyDescent="0.25">
      <c r="DR279" s="3"/>
      <c r="DT279" s="3"/>
    </row>
    <row r="280" spans="122:124" x14ac:dyDescent="0.25">
      <c r="DR280" s="3"/>
      <c r="DT280" s="3"/>
    </row>
    <row r="281" spans="122:124" x14ac:dyDescent="0.25">
      <c r="DR281" s="3"/>
      <c r="DT281" s="3"/>
    </row>
    <row r="282" spans="122:124" x14ac:dyDescent="0.25">
      <c r="DR282" s="3"/>
      <c r="DT282" s="3"/>
    </row>
    <row r="283" spans="122:124" x14ac:dyDescent="0.25">
      <c r="DR283" s="3"/>
      <c r="DT283" s="3"/>
    </row>
    <row r="284" spans="122:124" x14ac:dyDescent="0.25">
      <c r="DR284" s="3"/>
      <c r="DT284" s="3"/>
    </row>
    <row r="285" spans="122:124" x14ac:dyDescent="0.25">
      <c r="DR285" s="3"/>
      <c r="DT285" s="3"/>
    </row>
    <row r="286" spans="122:124" x14ac:dyDescent="0.25">
      <c r="DR286" s="3"/>
      <c r="DT286" s="3"/>
    </row>
    <row r="287" spans="122:124" x14ac:dyDescent="0.25">
      <c r="DR287" s="3"/>
      <c r="DT287" s="3"/>
    </row>
    <row r="288" spans="122:124" x14ac:dyDescent="0.25">
      <c r="DR288" s="3"/>
      <c r="DT288" s="3"/>
    </row>
    <row r="289" spans="122:124" x14ac:dyDescent="0.25">
      <c r="DR289" s="3"/>
      <c r="DT289" s="3"/>
    </row>
    <row r="290" spans="122:124" x14ac:dyDescent="0.25">
      <c r="DR290" s="3"/>
      <c r="DT290" s="3"/>
    </row>
    <row r="291" spans="122:124" x14ac:dyDescent="0.25">
      <c r="DR291" s="3"/>
      <c r="DT291" s="3"/>
    </row>
    <row r="292" spans="122:124" x14ac:dyDescent="0.25">
      <c r="DR292" s="3"/>
      <c r="DT292" s="3"/>
    </row>
    <row r="293" spans="122:124" x14ac:dyDescent="0.25">
      <c r="DR293" s="3"/>
      <c r="DT293" s="3"/>
    </row>
    <row r="294" spans="122:124" x14ac:dyDescent="0.25">
      <c r="DR294" s="3"/>
      <c r="DT294" s="3"/>
    </row>
    <row r="295" spans="122:124" x14ac:dyDescent="0.25">
      <c r="DR295" s="3"/>
      <c r="DT295" s="3"/>
    </row>
    <row r="296" spans="122:124" x14ac:dyDescent="0.25">
      <c r="DR296" s="3"/>
      <c r="DT296" s="3"/>
    </row>
    <row r="297" spans="122:124" x14ac:dyDescent="0.25">
      <c r="DR297" s="3"/>
      <c r="DT297" s="3"/>
    </row>
    <row r="298" spans="122:124" x14ac:dyDescent="0.25">
      <c r="DR298" s="3"/>
      <c r="DT298" s="3"/>
    </row>
    <row r="299" spans="122:124" x14ac:dyDescent="0.25">
      <c r="DR299" s="3"/>
      <c r="DT299" s="3"/>
    </row>
    <row r="300" spans="122:124" x14ac:dyDescent="0.25">
      <c r="DR300" s="3"/>
      <c r="DT300" s="3"/>
    </row>
    <row r="301" spans="122:124" x14ac:dyDescent="0.25">
      <c r="DR301" s="3"/>
      <c r="DT301" s="3"/>
    </row>
    <row r="302" spans="122:124" x14ac:dyDescent="0.25">
      <c r="DR302" s="3"/>
      <c r="DT302" s="3"/>
    </row>
    <row r="303" spans="122:124" x14ac:dyDescent="0.25">
      <c r="DR303" s="3"/>
      <c r="DT303" s="3"/>
    </row>
    <row r="304" spans="122:124" x14ac:dyDescent="0.25">
      <c r="DR304" s="3"/>
      <c r="DT304" s="3"/>
    </row>
    <row r="305" spans="122:124" x14ac:dyDescent="0.25">
      <c r="DR305" s="3"/>
      <c r="DT305" s="3"/>
    </row>
    <row r="306" spans="122:124" x14ac:dyDescent="0.25">
      <c r="DR306" s="3"/>
      <c r="DT306" s="3"/>
    </row>
    <row r="307" spans="122:124" x14ac:dyDescent="0.25">
      <c r="DR307" s="3"/>
      <c r="DT307" s="3"/>
    </row>
    <row r="308" spans="122:124" x14ac:dyDescent="0.25">
      <c r="DR308" s="3"/>
      <c r="DT308" s="3"/>
    </row>
    <row r="309" spans="122:124" x14ac:dyDescent="0.25">
      <c r="DR309" s="3"/>
      <c r="DT309" s="3"/>
    </row>
    <row r="310" spans="122:124" x14ac:dyDescent="0.25">
      <c r="DR310" s="3"/>
      <c r="DT310" s="3"/>
    </row>
    <row r="311" spans="122:124" x14ac:dyDescent="0.25">
      <c r="DR311" s="3"/>
      <c r="DT311" s="3"/>
    </row>
    <row r="312" spans="122:124" x14ac:dyDescent="0.25">
      <c r="DR312" s="3"/>
      <c r="DT312" s="3"/>
    </row>
    <row r="313" spans="122:124" x14ac:dyDescent="0.25">
      <c r="DR313" s="3"/>
      <c r="DT313" s="3"/>
    </row>
    <row r="314" spans="122:124" x14ac:dyDescent="0.25">
      <c r="DR314" s="3"/>
      <c r="DT314" s="3"/>
    </row>
    <row r="315" spans="122:124" x14ac:dyDescent="0.25">
      <c r="DR315" s="3"/>
      <c r="DT315" s="3"/>
    </row>
    <row r="316" spans="122:124" x14ac:dyDescent="0.25">
      <c r="DR316" s="3"/>
      <c r="DT316" s="3"/>
    </row>
    <row r="317" spans="122:124" x14ac:dyDescent="0.25">
      <c r="DR317" s="3"/>
      <c r="DT317" s="3"/>
    </row>
    <row r="318" spans="122:124" x14ac:dyDescent="0.25">
      <c r="DR318" s="3"/>
      <c r="DT318" s="3"/>
    </row>
    <row r="319" spans="122:124" x14ac:dyDescent="0.25">
      <c r="DR319" s="3"/>
      <c r="DT319" s="3"/>
    </row>
    <row r="320" spans="122:124" x14ac:dyDescent="0.25">
      <c r="DR320" s="3"/>
      <c r="DT320" s="3"/>
    </row>
    <row r="321" spans="122:124" x14ac:dyDescent="0.25">
      <c r="DR321" s="3"/>
      <c r="DT321" s="3"/>
    </row>
    <row r="322" spans="122:124" x14ac:dyDescent="0.25">
      <c r="DR322" s="3"/>
      <c r="DT322" s="3"/>
    </row>
    <row r="323" spans="122:124" x14ac:dyDescent="0.25">
      <c r="DR323" s="3"/>
      <c r="DT323" s="3"/>
    </row>
    <row r="324" spans="122:124" x14ac:dyDescent="0.25">
      <c r="DR324" s="3"/>
      <c r="DT324" s="3"/>
    </row>
    <row r="325" spans="122:124" x14ac:dyDescent="0.25">
      <c r="DR325" s="3"/>
      <c r="DT325" s="3"/>
    </row>
    <row r="326" spans="122:124" x14ac:dyDescent="0.25">
      <c r="DR326" s="3"/>
      <c r="DT326" s="3"/>
    </row>
    <row r="327" spans="122:124" x14ac:dyDescent="0.25">
      <c r="DR327" s="3"/>
      <c r="DT327" s="3"/>
    </row>
    <row r="328" spans="122:124" x14ac:dyDescent="0.25">
      <c r="DR328" s="3"/>
      <c r="DT328" s="3"/>
    </row>
    <row r="329" spans="122:124" x14ac:dyDescent="0.25">
      <c r="DR329" s="3"/>
      <c r="DT329" s="3"/>
    </row>
    <row r="330" spans="122:124" x14ac:dyDescent="0.25">
      <c r="DR330" s="3"/>
      <c r="DT330" s="3"/>
    </row>
    <row r="331" spans="122:124" x14ac:dyDescent="0.25">
      <c r="DR331" s="3"/>
      <c r="DT331" s="3"/>
    </row>
    <row r="332" spans="122:124" x14ac:dyDescent="0.25">
      <c r="DR332" s="3"/>
      <c r="DT332" s="3"/>
    </row>
    <row r="333" spans="122:124" x14ac:dyDescent="0.25">
      <c r="DR333" s="3"/>
      <c r="DT333" s="3"/>
    </row>
    <row r="334" spans="122:124" x14ac:dyDescent="0.25">
      <c r="DR334" s="3"/>
      <c r="DT334" s="3"/>
    </row>
    <row r="335" spans="122:124" x14ac:dyDescent="0.25">
      <c r="DR335" s="3"/>
      <c r="DT335" s="3"/>
    </row>
    <row r="336" spans="122:124" x14ac:dyDescent="0.25">
      <c r="DR336" s="3"/>
      <c r="DT336" s="3"/>
    </row>
    <row r="337" spans="122:124" x14ac:dyDescent="0.25">
      <c r="DR337" s="3"/>
      <c r="DT337" s="3"/>
    </row>
    <row r="338" spans="122:124" x14ac:dyDescent="0.25">
      <c r="DR338" s="3"/>
      <c r="DT338" s="3"/>
    </row>
    <row r="339" spans="122:124" x14ac:dyDescent="0.25">
      <c r="DR339" s="3"/>
      <c r="DT339" s="3"/>
    </row>
    <row r="340" spans="122:124" x14ac:dyDescent="0.25">
      <c r="DR340" s="3"/>
      <c r="DT340" s="3"/>
    </row>
    <row r="341" spans="122:124" x14ac:dyDescent="0.25">
      <c r="DR341" s="3"/>
      <c r="DT341" s="3"/>
    </row>
    <row r="342" spans="122:124" x14ac:dyDescent="0.25">
      <c r="DR342" s="3"/>
      <c r="DT342" s="3"/>
    </row>
    <row r="343" spans="122:124" x14ac:dyDescent="0.25">
      <c r="DR343" s="3"/>
      <c r="DT343" s="3"/>
    </row>
    <row r="344" spans="122:124" x14ac:dyDescent="0.25">
      <c r="DR344" s="3"/>
      <c r="DT344" s="3"/>
    </row>
    <row r="345" spans="122:124" x14ac:dyDescent="0.25">
      <c r="DR345" s="3"/>
      <c r="DT345" s="3"/>
    </row>
    <row r="346" spans="122:124" x14ac:dyDescent="0.25">
      <c r="DR346" s="3"/>
      <c r="DT346" s="3"/>
    </row>
    <row r="347" spans="122:124" x14ac:dyDescent="0.25">
      <c r="DR347" s="3"/>
      <c r="DT347" s="3"/>
    </row>
    <row r="348" spans="122:124" x14ac:dyDescent="0.25">
      <c r="DR348" s="3"/>
      <c r="DT348" s="3"/>
    </row>
    <row r="349" spans="122:124" x14ac:dyDescent="0.25">
      <c r="DR349" s="3"/>
      <c r="DT349" s="3"/>
    </row>
    <row r="350" spans="122:124" x14ac:dyDescent="0.25">
      <c r="DR350" s="3"/>
      <c r="DT350" s="3"/>
    </row>
    <row r="351" spans="122:124" x14ac:dyDescent="0.25">
      <c r="DR351" s="3"/>
      <c r="DT351" s="3"/>
    </row>
    <row r="352" spans="122:124" x14ac:dyDescent="0.25">
      <c r="DR352" s="3"/>
      <c r="DT352" s="3"/>
    </row>
    <row r="353" spans="122:124" x14ac:dyDescent="0.25">
      <c r="DR353" s="3"/>
      <c r="DT353" s="3"/>
    </row>
    <row r="354" spans="122:124" x14ac:dyDescent="0.25">
      <c r="DR354" s="3"/>
      <c r="DT354" s="3"/>
    </row>
    <row r="355" spans="122:124" x14ac:dyDescent="0.25">
      <c r="DR355" s="3"/>
      <c r="DT355" s="3"/>
    </row>
    <row r="356" spans="122:124" x14ac:dyDescent="0.25">
      <c r="DR356" s="3"/>
      <c r="DT356" s="3"/>
    </row>
    <row r="357" spans="122:124" x14ac:dyDescent="0.25">
      <c r="DR357" s="3"/>
      <c r="DT357" s="3"/>
    </row>
    <row r="358" spans="122:124" x14ac:dyDescent="0.25">
      <c r="DR358" s="3"/>
      <c r="DT358" s="3"/>
    </row>
    <row r="359" spans="122:124" x14ac:dyDescent="0.25">
      <c r="DR359" s="3"/>
      <c r="DT359" s="3"/>
    </row>
    <row r="360" spans="122:124" x14ac:dyDescent="0.25">
      <c r="DR360" s="3"/>
      <c r="DT360" s="3"/>
    </row>
    <row r="361" spans="122:124" x14ac:dyDescent="0.25">
      <c r="DR361" s="3"/>
      <c r="DT361" s="3"/>
    </row>
    <row r="362" spans="122:124" x14ac:dyDescent="0.25">
      <c r="DR362" s="3"/>
      <c r="DT362" s="3"/>
    </row>
    <row r="363" spans="122:124" x14ac:dyDescent="0.25">
      <c r="DR363" s="3"/>
      <c r="DT363" s="3"/>
    </row>
    <row r="364" spans="122:124" x14ac:dyDescent="0.25">
      <c r="DR364" s="3"/>
      <c r="DT364" s="3"/>
    </row>
    <row r="365" spans="122:124" x14ac:dyDescent="0.25">
      <c r="DR365" s="3"/>
      <c r="DT365" s="3"/>
    </row>
    <row r="366" spans="122:124" x14ac:dyDescent="0.25">
      <c r="DR366" s="3"/>
      <c r="DT366" s="3"/>
    </row>
    <row r="367" spans="122:124" x14ac:dyDescent="0.25">
      <c r="DR367" s="3"/>
      <c r="DT367" s="3"/>
    </row>
    <row r="368" spans="122:124" x14ac:dyDescent="0.25">
      <c r="DR368" s="3"/>
      <c r="DT368" s="3"/>
    </row>
    <row r="369" spans="122:124" x14ac:dyDescent="0.25">
      <c r="DR369" s="3"/>
      <c r="DT369" s="3"/>
    </row>
    <row r="370" spans="122:124" x14ac:dyDescent="0.25">
      <c r="DR370" s="3"/>
      <c r="DT370" s="3"/>
    </row>
    <row r="371" spans="122:124" x14ac:dyDescent="0.25">
      <c r="DR371" s="3"/>
      <c r="DT371" s="3"/>
    </row>
    <row r="372" spans="122:124" x14ac:dyDescent="0.25">
      <c r="DR372" s="3"/>
      <c r="DS372" s="3"/>
      <c r="DT372" s="3"/>
    </row>
    <row r="373" spans="122:124" x14ac:dyDescent="0.25">
      <c r="DR373" s="3"/>
      <c r="DT373" s="3"/>
    </row>
    <row r="374" spans="122:124" x14ac:dyDescent="0.25">
      <c r="DR374" s="3"/>
      <c r="DT374" s="3"/>
    </row>
    <row r="375" spans="122:124" x14ac:dyDescent="0.25">
      <c r="DR375" s="3"/>
      <c r="DT375" s="3"/>
    </row>
    <row r="376" spans="122:124" x14ac:dyDescent="0.25">
      <c r="DR376" s="3"/>
      <c r="DT376" s="3"/>
    </row>
    <row r="377" spans="122:124" x14ac:dyDescent="0.25">
      <c r="DR377" s="3"/>
      <c r="DT377" s="3"/>
    </row>
    <row r="378" spans="122:124" x14ac:dyDescent="0.25">
      <c r="DR378" s="3"/>
      <c r="DT378" s="3"/>
    </row>
    <row r="379" spans="122:124" x14ac:dyDescent="0.25">
      <c r="DR379" s="3"/>
      <c r="DT379" s="3"/>
    </row>
    <row r="380" spans="122:124" x14ac:dyDescent="0.25">
      <c r="DR380" s="3"/>
      <c r="DT380" s="3"/>
    </row>
    <row r="381" spans="122:124" x14ac:dyDescent="0.25">
      <c r="DR381" s="3"/>
      <c r="DT381" s="3"/>
    </row>
    <row r="382" spans="122:124" x14ac:dyDescent="0.25">
      <c r="DR382" s="3"/>
      <c r="DT382" s="3"/>
    </row>
    <row r="383" spans="122:124" x14ac:dyDescent="0.25">
      <c r="DR383" s="3"/>
      <c r="DT383" s="3"/>
    </row>
    <row r="384" spans="122:124" x14ac:dyDescent="0.25">
      <c r="DR384" s="3"/>
      <c r="DT384" s="3"/>
    </row>
    <row r="385" spans="122:124" x14ac:dyDescent="0.25">
      <c r="DR385" s="3"/>
      <c r="DT385" s="3"/>
    </row>
    <row r="386" spans="122:124" x14ac:dyDescent="0.25">
      <c r="DR386" s="3"/>
      <c r="DT38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3</vt:i4>
      </vt:variant>
    </vt:vector>
  </HeadingPairs>
  <TitlesOfParts>
    <vt:vector size="8" baseType="lpstr">
      <vt:lpstr>Base de données</vt:lpstr>
      <vt:lpstr>D1 Résultats 2022.2023</vt:lpstr>
      <vt:lpstr>Démarrage</vt:lpstr>
      <vt:lpstr>Fenêtre codage</vt:lpstr>
      <vt:lpstr>Résultats</vt:lpstr>
      <vt:lpstr>ListeClubs</vt:lpstr>
      <vt:lpstr>ListeCLubsDOM</vt:lpstr>
      <vt:lpstr>NomsJoueurs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 FAYTRE</dc:creator>
  <cp:lastModifiedBy>Leo FAYTRE</cp:lastModifiedBy>
  <cp:lastPrinted>2023-08-25T20:40:55Z</cp:lastPrinted>
  <dcterms:created xsi:type="dcterms:W3CDTF">2023-04-30T11:21:07Z</dcterms:created>
  <dcterms:modified xsi:type="dcterms:W3CDTF">2024-05-16T12:26:43Z</dcterms:modified>
</cp:coreProperties>
</file>